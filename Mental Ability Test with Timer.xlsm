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Z:\Niño\Miscellaneous\"/>
    </mc:Choice>
  </mc:AlternateContent>
  <bookViews>
    <workbookView xWindow="0" yWindow="0" windowWidth="28800" windowHeight="11700" activeTab="1"/>
  </bookViews>
  <sheets>
    <sheet name="Test" sheetId="1" r:id="rId1"/>
    <sheet name="Answer Key for Exercises" sheetId="3" r:id="rId2"/>
    <sheet name="Score" sheetId="2" state="hidden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11" i="2" l="1"/>
  <c r="C58" i="2" l="1"/>
  <c r="C57" i="2"/>
  <c r="C56" i="2"/>
  <c r="C55" i="2"/>
  <c r="C54" i="2"/>
  <c r="C53" i="2"/>
  <c r="C52" i="2"/>
  <c r="C51" i="2"/>
  <c r="C50" i="2"/>
  <c r="C49" i="2"/>
  <c r="C48" i="2"/>
  <c r="C47" i="2"/>
  <c r="C46" i="2"/>
  <c r="C45" i="2"/>
  <c r="C44" i="2"/>
  <c r="C43" i="2"/>
  <c r="C42" i="2"/>
  <c r="C41" i="2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25" i="2"/>
  <c r="C24" i="2"/>
  <c r="C23" i="2"/>
  <c r="C22" i="2"/>
  <c r="C21" i="2" l="1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F11" i="2" l="1"/>
  <c r="I11" i="2" s="1"/>
</calcChain>
</file>

<file path=xl/sharedStrings.xml><?xml version="1.0" encoding="utf-8"?>
<sst xmlns="http://schemas.openxmlformats.org/spreadsheetml/2006/main" count="145" uniqueCount="130">
  <si>
    <t>HOUSE OF I.T</t>
  </si>
  <si>
    <t>MD5 Mental Ability Test</t>
  </si>
  <si>
    <t>Below are three examples of the type of question and you will answer this test with the coreect answers by the side. You will note that an asterisk(*) stands for a missing letter or figure. If there are two asterisks(**) there are two missing letters or figures, and so on. In the answer column, the missing letters or figures have been written.</t>
  </si>
  <si>
    <t>Answers</t>
  </si>
  <si>
    <t>(1)     L           M          N          O          P          *          R</t>
  </si>
  <si>
    <t>Q</t>
  </si>
  <si>
    <t>(2)     2               4               6               8               **</t>
  </si>
  <si>
    <t>(3)     What word can mean both 12 INCHES and PART OF THE BODY?      ****</t>
  </si>
  <si>
    <t>FOOT</t>
  </si>
  <si>
    <t>When you have studied how these examples have been done, try the examples below for practice. Remember that the number of asterisks indicates the number of missing letters or figures.</t>
  </si>
  <si>
    <t>(4)     9           7          5          *          1</t>
  </si>
  <si>
    <t>(5)     What word can mean both SOUND OF A DOG and OUTSIDE OF A TREE?     ****</t>
  </si>
  <si>
    <t>(6)     SUMMER     WINTER         HOT     ****</t>
  </si>
  <si>
    <t>(7)     HE     HEN     TO     TOP     IN     INK     **     ASK</t>
  </si>
  <si>
    <t xml:space="preserve">(8)     1A          2B          3C          4*    </t>
  </si>
  <si>
    <t>Do not spend too much time on any one item, leave it out if you find it too difficult. You will have 15 minutes to complete this test.</t>
  </si>
  <si>
    <t>DO NOT SCROLL DOWN THIS SHEET UNTIL YOU ARE TOLD TO</t>
  </si>
  <si>
    <t>THE TEST STARTS HERE</t>
  </si>
  <si>
    <t>The sixth word in this sentence has * letters.</t>
  </si>
  <si>
    <t>BLACK  WHITE          SHORT  TALL           UP   ****</t>
  </si>
  <si>
    <t>BATHERS          BATHER          BATHE          BATH          ***</t>
  </si>
  <si>
    <t>3          6          9          12          **</t>
  </si>
  <si>
    <t>SPRINTER   IN              CROONERS   ON              SPLATTER   AT              DISASTER   **</t>
  </si>
  <si>
    <t>SOLDIER    SAILOR          ARMY    ****</t>
  </si>
  <si>
    <t>2          4          8          16          **</t>
  </si>
  <si>
    <t>WASP    AS              WITH    IT             RATE    **</t>
  </si>
  <si>
    <t>TODAY          YESTERDAY          TUESDAY         ******</t>
  </si>
  <si>
    <t>BULL      COW                   ****       HEN</t>
  </si>
  <si>
    <t>IT   MIST          AS   LADS          **    COIN</t>
  </si>
  <si>
    <t>ARE   PARENTS                   HIS    THISTLE                   ***    POURING</t>
  </si>
  <si>
    <t>RATS   STAR          8475   5748            BUT   ***</t>
  </si>
  <si>
    <t>NO   NOON                   IT   INTO                   AS   ALSO                          **   SHOT</t>
  </si>
  <si>
    <t>BO          CA          OT          RT          BOOT          ****</t>
  </si>
  <si>
    <t>PICTURE        SEE                   MUSIC        ****</t>
  </si>
  <si>
    <t>4          5          7          10          14          **</t>
  </si>
  <si>
    <t>MNO          OPQ          QRS          ***</t>
  </si>
  <si>
    <t>Z          A          Y          B          X          C          *          *</t>
  </si>
  <si>
    <t>NO   ONTO                   IT   TINT                   AS   PANS                   **   SOON</t>
  </si>
  <si>
    <t>PAT    TAP                   MOOD    DOOM                   BARD    ****</t>
  </si>
  <si>
    <t>DESTROY    WAR                   RESTORE     *****</t>
  </si>
  <si>
    <t>FINANCE    A          MONEY    N          POUND    U          YEN    *</t>
  </si>
  <si>
    <t>ABC          BCA          BAC          CBA          ACB          ***</t>
  </si>
  <si>
    <t>SURNAME    1234567                   NEAR    4753                   MUSE    ****</t>
  </si>
  <si>
    <t>What word means the opposite of both EASY and SOFT? ****</t>
  </si>
  <si>
    <t>4 x 4 x 4 = **</t>
  </si>
  <si>
    <t>MONTH     WEEK           DAY      ****</t>
  </si>
  <si>
    <t>YRQAXMJ           JMXAQRY           ZLNSUD           DUSNLZ           JNUBYL           ******</t>
  </si>
  <si>
    <t>What word can mean both NEAR and SULTRY?      *****</t>
  </si>
  <si>
    <t>ELABORATE    738142867           TABLE    68137           ROT    ***</t>
  </si>
  <si>
    <t>4           3           8           6           12           9           16           **</t>
  </si>
  <si>
    <t>CART           DBSU           HEED           IFFE           TOP           ***</t>
  </si>
  <si>
    <t>24138           82413          38241           *****</t>
  </si>
  <si>
    <t>HLE           GME           FNE           ***</t>
  </si>
  <si>
    <t>9N           8E           7S           6S           5*</t>
  </si>
  <si>
    <t>What rhymes with BANK and means the same as CANDID?      *****</t>
  </si>
  <si>
    <t>BEH           HKN           NQT           ***</t>
  </si>
  <si>
    <t>131           118           106           95           85           **</t>
  </si>
  <si>
    <t>NINE     4           TWO     3           SEVEN     5           EIGHT     *</t>
  </si>
  <si>
    <t>GHOST           STONE           NEST     **ATI **           ONCE</t>
  </si>
  <si>
    <t>CUSTOM           STOMACH           DEALING           ****   ER</t>
  </si>
  <si>
    <t>EG     57           RB     182           OH     158           FK     ***</t>
  </si>
  <si>
    <t>144           121           100           81           64           **</t>
  </si>
  <si>
    <t>4994           888           6530356           CIV    **</t>
  </si>
  <si>
    <t>ERE           TOT           REFER           R*TO*</t>
  </si>
  <si>
    <t>What word can mean both STRENGHT and COMPEL?     *****</t>
  </si>
  <si>
    <t>What rhymes with STEEL and means the same as HIDE?      *******</t>
  </si>
  <si>
    <t>What word can mean both TAR and THROW?       *****</t>
  </si>
  <si>
    <t>DEED           LEVEL           *E*IV*R</t>
  </si>
  <si>
    <t>4133           38           146           29           42*</t>
  </si>
  <si>
    <t>What word can mean both SIGNIFY and IGNOBLE?      ****</t>
  </si>
  <si>
    <t>98           63           37           19           *           3</t>
  </si>
  <si>
    <t>L3           J5           H9           F17           D33      ***</t>
  </si>
  <si>
    <t>answer</t>
  </si>
  <si>
    <t>DOWN</t>
  </si>
  <si>
    <t>HARD</t>
  </si>
  <si>
    <t>BAT</t>
  </si>
  <si>
    <t>AS</t>
  </si>
  <si>
    <t>NAVY</t>
  </si>
  <si>
    <t>TOE</t>
  </si>
  <si>
    <t>AT</t>
  </si>
  <si>
    <t>MONDAY</t>
  </si>
  <si>
    <t>COCK</t>
  </si>
  <si>
    <t>ON</t>
  </si>
  <si>
    <t>OUR</t>
  </si>
  <si>
    <t>TUB</t>
  </si>
  <si>
    <t>SO</t>
  </si>
  <si>
    <t>CART</t>
  </si>
  <si>
    <t>HEAR</t>
  </si>
  <si>
    <t>NOON</t>
  </si>
  <si>
    <t>STU</t>
  </si>
  <si>
    <t>WD</t>
  </si>
  <si>
    <t>DRAB</t>
  </si>
  <si>
    <t>PEACE</t>
  </si>
  <si>
    <t>E</t>
  </si>
  <si>
    <t>CAB</t>
  </si>
  <si>
    <t>HOUR</t>
  </si>
  <si>
    <t>LYBUNJ</t>
  </si>
  <si>
    <t>CLOSE</t>
  </si>
  <si>
    <t>UPQ</t>
  </si>
  <si>
    <t>EOE</t>
  </si>
  <si>
    <t>F</t>
  </si>
  <si>
    <t>FRANK</t>
  </si>
  <si>
    <t>TWZ</t>
  </si>
  <si>
    <t>ST ON</t>
  </si>
  <si>
    <t>LING</t>
  </si>
  <si>
    <t>IC</t>
  </si>
  <si>
    <t>O R</t>
  </si>
  <si>
    <t>FORCE</t>
  </si>
  <si>
    <t>ETI</t>
  </si>
  <si>
    <t>B65</t>
  </si>
  <si>
    <t>CONCEAL</t>
  </si>
  <si>
    <t>PITCH</t>
  </si>
  <si>
    <t>RVE</t>
  </si>
  <si>
    <t>MEAN</t>
  </si>
  <si>
    <t>HAND      FINGER             FOOT        ***</t>
  </si>
  <si>
    <t>RAMBLE           ELBOW           TRITE           ***OLATE</t>
  </si>
  <si>
    <t>BARK</t>
  </si>
  <si>
    <t>COLD</t>
  </si>
  <si>
    <t>D</t>
  </si>
  <si>
    <t>Name:</t>
  </si>
  <si>
    <t>Date:</t>
  </si>
  <si>
    <t>RESULT</t>
  </si>
  <si>
    <t>Mental Ability Exam</t>
  </si>
  <si>
    <t>Raw Score</t>
  </si>
  <si>
    <t>Percentage</t>
  </si>
  <si>
    <t>Pass/Fail Option:</t>
  </si>
  <si>
    <t>:</t>
  </si>
  <si>
    <t>Directions: Type only the characters of your desire answer. Don't input extra spaces or symbols.</t>
  </si>
  <si>
    <t>/57</t>
  </si>
  <si>
    <t>MOOR    ROOM                   NOON     ****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</si>
</sst>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3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/>
      </patternFill>
    </fill>
    <fill>
      <patternFill patternType="solid">
        <fgColor theme="9" tint="0.59999389629810485"/>
        <bgColor indexed="65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</cellStyleXfs>
  <cellXfs count="85">
    <xf numFmtId="0" fontId="0" fillId="0" borderId="0" xfId="0"/>
    <xf numFmtId="0" fontId="1" fillId="3" borderId="0" xfId="2"/>
    <xf numFmtId="0" fontId="2" fillId="3" borderId="0" xfId="2" applyFont="1" applyAlignment="1">
      <alignment horizontal="left" wrapText="1"/>
    </xf>
    <xf numFmtId="0" fontId="2" fillId="3" borderId="0" xfId="2" applyFont="1" applyAlignment="1">
      <alignment wrapText="1"/>
    </xf>
    <xf numFmtId="0" fontId="3" fillId="2" borderId="0" xfId="1" applyBorder="1" applyAlignment="1">
      <alignment horizontal="left" vertical="center"/>
    </xf>
    <xf numFmtId="0" fontId="3" fillId="2" borderId="0" xfId="1" applyBorder="1" applyAlignment="1">
      <alignment horizontal="center" vertical="center"/>
    </xf>
    <xf numFmtId="0" fontId="3" fillId="2" borderId="8" xfId="1" applyBorder="1" applyAlignment="1">
      <alignment horizontal="left" vertical="center"/>
    </xf>
    <xf numFmtId="0" fontId="1" fillId="3" borderId="0" xfId="2" applyBorder="1"/>
    <xf numFmtId="0" fontId="0" fillId="0" borderId="0" xfId="0" quotePrefix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/>
    <xf numFmtId="0" fontId="4" fillId="0" borderId="0" xfId="0" applyFont="1" applyAlignment="1">
      <alignment vertical="center"/>
    </xf>
    <xf numFmtId="0" fontId="5" fillId="0" borderId="0" xfId="0" applyFont="1" applyBorder="1" applyAlignment="1">
      <alignment vertical="center"/>
    </xf>
    <xf numFmtId="0" fontId="8" fillId="0" borderId="0" xfId="0" applyFont="1" applyBorder="1" applyAlignment="1">
      <alignment vertical="center"/>
    </xf>
    <xf numFmtId="0" fontId="6" fillId="0" borderId="0" xfId="0" applyFont="1" applyAlignment="1">
      <alignment vertical="center"/>
    </xf>
    <xf numFmtId="0" fontId="2" fillId="3" borderId="0" xfId="2" applyFont="1" applyAlignment="1"/>
    <xf numFmtId="0" fontId="9" fillId="3" borderId="0" xfId="2" applyFont="1" applyAlignment="1">
      <alignment vertical="center"/>
    </xf>
    <xf numFmtId="21" fontId="1" fillId="3" borderId="0" xfId="2" applyNumberFormat="1"/>
    <xf numFmtId="0" fontId="2" fillId="3" borderId="5" xfId="2" applyFont="1" applyBorder="1" applyAlignment="1">
      <alignment horizontal="center"/>
    </xf>
    <xf numFmtId="0" fontId="1" fillId="3" borderId="5" xfId="2" applyBorder="1" applyAlignment="1">
      <alignment horizontal="center"/>
    </xf>
    <xf numFmtId="0" fontId="2" fillId="3" borderId="1" xfId="2" applyFont="1" applyBorder="1" applyAlignment="1">
      <alignment horizontal="left" vertical="center" wrapText="1"/>
    </xf>
    <xf numFmtId="0" fontId="2" fillId="3" borderId="2" xfId="2" applyFont="1" applyBorder="1" applyAlignment="1">
      <alignment horizontal="left" vertical="center" wrapText="1"/>
    </xf>
    <xf numFmtId="0" fontId="2" fillId="3" borderId="3" xfId="2" applyFont="1" applyBorder="1" applyAlignment="1">
      <alignment horizontal="left" vertical="center" wrapText="1"/>
    </xf>
    <xf numFmtId="0" fontId="2" fillId="3" borderId="10" xfId="2" applyFont="1" applyBorder="1" applyAlignment="1">
      <alignment horizontal="left" vertical="center" wrapText="1"/>
    </xf>
    <xf numFmtId="0" fontId="2" fillId="3" borderId="0" xfId="2" applyFont="1" applyBorder="1" applyAlignment="1">
      <alignment horizontal="left" vertical="center" wrapText="1"/>
    </xf>
    <xf numFmtId="0" fontId="2" fillId="3" borderId="11" xfId="2" applyFont="1" applyBorder="1" applyAlignment="1">
      <alignment horizontal="left" vertical="center" wrapText="1"/>
    </xf>
    <xf numFmtId="0" fontId="2" fillId="3" borderId="4" xfId="2" applyFont="1" applyBorder="1" applyAlignment="1">
      <alignment horizontal="left" vertical="center" wrapText="1"/>
    </xf>
    <xf numFmtId="0" fontId="2" fillId="3" borderId="5" xfId="2" applyFont="1" applyBorder="1" applyAlignment="1">
      <alignment horizontal="left" vertical="center" wrapText="1"/>
    </xf>
    <xf numFmtId="0" fontId="2" fillId="3" borderId="6" xfId="2" applyFont="1" applyBorder="1" applyAlignment="1">
      <alignment horizontal="left" vertical="center" wrapText="1"/>
    </xf>
    <xf numFmtId="0" fontId="0" fillId="3" borderId="1" xfId="2" quotePrefix="1" applyFont="1" applyBorder="1" applyAlignment="1">
      <alignment horizontal="left" vertical="center"/>
    </xf>
    <xf numFmtId="0" fontId="1" fillId="3" borderId="2" xfId="2" applyBorder="1" applyAlignment="1">
      <alignment horizontal="left" vertical="center"/>
    </xf>
    <xf numFmtId="0" fontId="1" fillId="3" borderId="3" xfId="2" applyBorder="1" applyAlignment="1">
      <alignment horizontal="left" vertical="center"/>
    </xf>
    <xf numFmtId="0" fontId="1" fillId="3" borderId="4" xfId="2" applyBorder="1" applyAlignment="1">
      <alignment horizontal="left" vertical="center"/>
    </xf>
    <xf numFmtId="0" fontId="1" fillId="3" borderId="5" xfId="2" applyBorder="1" applyAlignment="1">
      <alignment horizontal="left" vertical="center"/>
    </xf>
    <xf numFmtId="0" fontId="1" fillId="3" borderId="6" xfId="2" applyBorder="1" applyAlignment="1">
      <alignment horizontal="left" vertical="center"/>
    </xf>
    <xf numFmtId="0" fontId="0" fillId="3" borderId="1" xfId="2" applyFont="1" applyBorder="1" applyAlignment="1" applyProtection="1">
      <alignment horizontal="center" vertical="center"/>
    </xf>
    <xf numFmtId="0" fontId="1" fillId="3" borderId="3" xfId="2" applyBorder="1" applyAlignment="1" applyProtection="1">
      <alignment horizontal="center" vertical="center"/>
    </xf>
    <xf numFmtId="0" fontId="1" fillId="3" borderId="4" xfId="2" applyBorder="1" applyAlignment="1" applyProtection="1">
      <alignment horizontal="center" vertical="center"/>
    </xf>
    <xf numFmtId="0" fontId="1" fillId="3" borderId="6" xfId="2" applyBorder="1" applyAlignment="1" applyProtection="1">
      <alignment horizontal="center" vertical="center"/>
    </xf>
    <xf numFmtId="0" fontId="2" fillId="3" borderId="7" xfId="2" applyFont="1" applyBorder="1" applyAlignment="1">
      <alignment horizontal="center"/>
    </xf>
    <xf numFmtId="0" fontId="2" fillId="3" borderId="8" xfId="2" applyFont="1" applyBorder="1" applyAlignment="1">
      <alignment horizontal="center"/>
    </xf>
    <xf numFmtId="0" fontId="2" fillId="3" borderId="9" xfId="2" applyFont="1" applyBorder="1" applyAlignment="1">
      <alignment horizontal="center"/>
    </xf>
    <xf numFmtId="0" fontId="2" fillId="3" borderId="1" xfId="2" applyFont="1" applyBorder="1" applyAlignment="1">
      <alignment horizontal="center" vertical="center"/>
    </xf>
    <xf numFmtId="0" fontId="2" fillId="3" borderId="2" xfId="2" applyFont="1" applyBorder="1" applyAlignment="1">
      <alignment horizontal="center" vertical="center"/>
    </xf>
    <xf numFmtId="0" fontId="2" fillId="3" borderId="3" xfId="2" applyFont="1" applyBorder="1" applyAlignment="1">
      <alignment horizontal="center" vertical="center"/>
    </xf>
    <xf numFmtId="0" fontId="2" fillId="3" borderId="4" xfId="2" applyFont="1" applyBorder="1" applyAlignment="1">
      <alignment horizontal="center" vertical="center"/>
    </xf>
    <xf numFmtId="0" fontId="2" fillId="3" borderId="5" xfId="2" applyFont="1" applyBorder="1" applyAlignment="1">
      <alignment horizontal="center" vertical="center"/>
    </xf>
    <xf numFmtId="0" fontId="2" fillId="3" borderId="6" xfId="2" applyFont="1" applyBorder="1" applyAlignment="1">
      <alignment horizontal="center" vertical="center"/>
    </xf>
    <xf numFmtId="0" fontId="2" fillId="3" borderId="1" xfId="2" applyFont="1" applyBorder="1" applyAlignment="1">
      <alignment horizontal="left" wrapText="1"/>
    </xf>
    <xf numFmtId="0" fontId="2" fillId="3" borderId="2" xfId="2" applyFont="1" applyBorder="1" applyAlignment="1">
      <alignment horizontal="left" wrapText="1"/>
    </xf>
    <xf numFmtId="0" fontId="2" fillId="3" borderId="3" xfId="2" applyFont="1" applyBorder="1" applyAlignment="1">
      <alignment horizontal="left" wrapText="1"/>
    </xf>
    <xf numFmtId="0" fontId="2" fillId="3" borderId="10" xfId="2" applyFont="1" applyBorder="1" applyAlignment="1">
      <alignment horizontal="left" wrapText="1"/>
    </xf>
    <xf numFmtId="0" fontId="2" fillId="3" borderId="0" xfId="2" applyFont="1" applyBorder="1" applyAlignment="1">
      <alignment horizontal="left" wrapText="1"/>
    </xf>
    <xf numFmtId="0" fontId="2" fillId="3" borderId="11" xfId="2" applyFont="1" applyBorder="1" applyAlignment="1">
      <alignment horizontal="left" wrapText="1"/>
    </xf>
    <xf numFmtId="0" fontId="2" fillId="3" borderId="4" xfId="2" applyFont="1" applyBorder="1" applyAlignment="1">
      <alignment horizontal="left" wrapText="1"/>
    </xf>
    <xf numFmtId="0" fontId="2" fillId="3" borderId="5" xfId="2" applyFont="1" applyBorder="1" applyAlignment="1">
      <alignment horizontal="left" wrapText="1"/>
    </xf>
    <xf numFmtId="0" fontId="2" fillId="3" borderId="6" xfId="2" applyFont="1" applyBorder="1" applyAlignment="1">
      <alignment horizontal="left" wrapText="1"/>
    </xf>
    <xf numFmtId="0" fontId="0" fillId="3" borderId="1" xfId="2" applyFont="1" applyBorder="1" applyAlignment="1">
      <alignment horizontal="center" vertical="center"/>
    </xf>
    <xf numFmtId="0" fontId="1" fillId="3" borderId="3" xfId="2" applyBorder="1" applyAlignment="1">
      <alignment horizontal="center" vertical="center"/>
    </xf>
    <xf numFmtId="0" fontId="1" fillId="3" borderId="4" xfId="2" applyBorder="1" applyAlignment="1">
      <alignment horizontal="center" vertical="center"/>
    </xf>
    <xf numFmtId="0" fontId="1" fillId="3" borderId="6" xfId="2" applyBorder="1" applyAlignment="1">
      <alignment horizontal="center" vertical="center"/>
    </xf>
    <xf numFmtId="0" fontId="1" fillId="3" borderId="1" xfId="2" applyBorder="1" applyAlignment="1">
      <alignment horizontal="center" vertical="center"/>
    </xf>
    <xf numFmtId="0" fontId="2" fillId="3" borderId="0" xfId="2" applyFont="1" applyAlignment="1">
      <alignment horizontal="left" wrapText="1"/>
    </xf>
    <xf numFmtId="0" fontId="0" fillId="0" borderId="5" xfId="0" applyBorder="1" applyAlignment="1" applyProtection="1">
      <alignment horizontal="center"/>
      <protection locked="0"/>
    </xf>
    <xf numFmtId="0" fontId="8" fillId="0" borderId="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 wrapText="1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10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10" fontId="6" fillId="0" borderId="1" xfId="0" applyNumberFormat="1" applyFont="1" applyBorder="1" applyAlignment="1">
      <alignment horizontal="center" vertical="center"/>
    </xf>
    <xf numFmtId="10" fontId="6" fillId="0" borderId="3" xfId="0" applyNumberFormat="1" applyFont="1" applyBorder="1" applyAlignment="1">
      <alignment horizontal="center" vertical="center"/>
    </xf>
    <xf numFmtId="10" fontId="6" fillId="0" borderId="10" xfId="0" applyNumberFormat="1" applyFont="1" applyBorder="1" applyAlignment="1">
      <alignment horizontal="center" vertical="center"/>
    </xf>
    <xf numFmtId="10" fontId="6" fillId="0" borderId="11" xfId="0" applyNumberFormat="1" applyFont="1" applyBorder="1" applyAlignment="1">
      <alignment horizontal="center" vertical="center"/>
    </xf>
    <xf numFmtId="10" fontId="6" fillId="0" borderId="4" xfId="0" applyNumberFormat="1" applyFont="1" applyBorder="1" applyAlignment="1">
      <alignment horizontal="center" vertical="center"/>
    </xf>
    <xf numFmtId="10" fontId="6" fillId="0" borderId="6" xfId="0" applyNumberFormat="1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14" fontId="0" fillId="0" borderId="5" xfId="0" applyNumberFormat="1" applyBorder="1" applyAlignment="1" applyProtection="1">
      <alignment horizontal="center"/>
      <protection locked="0"/>
    </xf>
  </cellXfs>
  <cellStyles count="3">
    <cellStyle name="40% - Accent6" xfId="2" builtinId="51"/>
    <cellStyle name="Accent3" xfId="1" builtinId="37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46</xdr:row>
          <xdr:rowOff>57150</xdr:rowOff>
        </xdr:from>
        <xdr:to>
          <xdr:col>16</xdr:col>
          <xdr:colOff>762000</xdr:colOff>
          <xdr:row>50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17</xdr:col>
      <xdr:colOff>371475</xdr:colOff>
      <xdr:row>45</xdr:row>
      <xdr:rowOff>9525</xdr:rowOff>
    </xdr:from>
    <xdr:to>
      <xdr:col>21</xdr:col>
      <xdr:colOff>533400</xdr:colOff>
      <xdr:row>51</xdr:row>
      <xdr:rowOff>19050</xdr:rowOff>
    </xdr:to>
    <xdr:sp macro="" textlink="$N$44">
      <xdr:nvSpPr>
        <xdr:cNvPr id="2" name="TextBox 1"/>
        <xdr:cNvSpPr txBox="1"/>
      </xdr:nvSpPr>
      <xdr:spPr>
        <a:xfrm>
          <a:off x="10287000" y="8582025"/>
          <a:ext cx="2600325" cy="1152525"/>
        </a:xfrm>
        <a:prstGeom prst="rect">
          <a:avLst/>
        </a:prstGeom>
        <a:ln/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wrap="square" rtlCol="0" anchor="ctr"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fld id="{75EB98EE-C547-442E-80B9-5A37292EB123}" type="TxLink">
            <a:rPr lang="en-US" sz="5400" b="1" i="0" u="none" strike="noStrike" cap="none" spc="0">
              <a:ln/>
              <a:solidFill>
                <a:srgbClr val="C00000"/>
              </a:solidFill>
              <a:effectLst/>
              <a:latin typeface="Calibri"/>
              <a:cs typeface="Calibri"/>
            </a:rPr>
            <a:pPr algn="ctr"/>
            <a:t>0:15:00</a:t>
          </a:fld>
          <a:endParaRPr lang="en-US" sz="5400" b="1" cap="none" spc="0">
            <a:ln/>
            <a:solidFill>
              <a:srgbClr val="C00000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B2:N158"/>
  <sheetViews>
    <sheetView topLeftCell="A16" zoomScaleNormal="100" workbookViewId="0">
      <selection activeCell="Q28" sqref="Q28"/>
    </sheetView>
  </sheetViews>
  <sheetFormatPr defaultRowHeight="15" x14ac:dyDescent="0.25"/>
  <cols>
    <col min="1" max="13" width="9.140625" style="1"/>
    <col min="14" max="14" width="17.28515625" style="1" hidden="1" customWidth="1"/>
    <col min="15" max="16" width="9.140625" style="1"/>
    <col min="17" max="17" width="11.5703125" style="1" customWidth="1"/>
    <col min="18" max="16384" width="9.140625" style="1"/>
  </cols>
  <sheetData>
    <row r="2" spans="2:11" x14ac:dyDescent="0.25">
      <c r="C2" s="39" t="s">
        <v>0</v>
      </c>
      <c r="D2" s="40"/>
      <c r="E2" s="40"/>
      <c r="F2" s="40"/>
      <c r="G2" s="40"/>
      <c r="H2" s="40"/>
      <c r="I2" s="41"/>
    </row>
    <row r="3" spans="2:11" x14ac:dyDescent="0.25">
      <c r="C3" s="42" t="s">
        <v>1</v>
      </c>
      <c r="D3" s="43"/>
      <c r="E3" s="43"/>
      <c r="F3" s="43"/>
      <c r="G3" s="43"/>
      <c r="H3" s="43"/>
      <c r="I3" s="44"/>
    </row>
    <row r="4" spans="2:11" x14ac:dyDescent="0.25">
      <c r="C4" s="45"/>
      <c r="D4" s="46"/>
      <c r="E4" s="46"/>
      <c r="F4" s="46"/>
      <c r="G4" s="46"/>
      <c r="H4" s="46"/>
      <c r="I4" s="47"/>
    </row>
    <row r="6" spans="2:11" x14ac:dyDescent="0.25">
      <c r="B6" s="48" t="s">
        <v>2</v>
      </c>
      <c r="C6" s="49"/>
      <c r="D6" s="49"/>
      <c r="E6" s="49"/>
      <c r="F6" s="49"/>
      <c r="G6" s="49"/>
      <c r="H6" s="49"/>
      <c r="I6" s="49"/>
      <c r="J6" s="50"/>
    </row>
    <row r="7" spans="2:11" x14ac:dyDescent="0.25">
      <c r="B7" s="51"/>
      <c r="C7" s="52"/>
      <c r="D7" s="52"/>
      <c r="E7" s="52"/>
      <c r="F7" s="52"/>
      <c r="G7" s="52"/>
      <c r="H7" s="52"/>
      <c r="I7" s="52"/>
      <c r="J7" s="53"/>
    </row>
    <row r="8" spans="2:11" x14ac:dyDescent="0.25">
      <c r="B8" s="51"/>
      <c r="C8" s="52"/>
      <c r="D8" s="52"/>
      <c r="E8" s="52"/>
      <c r="F8" s="52"/>
      <c r="G8" s="52"/>
      <c r="H8" s="52"/>
      <c r="I8" s="52"/>
      <c r="J8" s="53"/>
    </row>
    <row r="9" spans="2:11" x14ac:dyDescent="0.25">
      <c r="B9" s="54"/>
      <c r="C9" s="55"/>
      <c r="D9" s="55"/>
      <c r="E9" s="55"/>
      <c r="F9" s="55"/>
      <c r="G9" s="55"/>
      <c r="H9" s="55"/>
      <c r="I9" s="55"/>
      <c r="J9" s="56"/>
    </row>
    <row r="10" spans="2:11" x14ac:dyDescent="0.25">
      <c r="J10" s="18" t="s">
        <v>3</v>
      </c>
      <c r="K10" s="19"/>
    </row>
    <row r="11" spans="2:11" x14ac:dyDescent="0.25">
      <c r="B11" s="29" t="s">
        <v>4</v>
      </c>
      <c r="C11" s="30"/>
      <c r="D11" s="30"/>
      <c r="E11" s="30"/>
      <c r="F11" s="30"/>
      <c r="G11" s="30"/>
      <c r="H11" s="30"/>
      <c r="I11" s="31"/>
      <c r="J11" s="57" t="s">
        <v>5</v>
      </c>
      <c r="K11" s="58"/>
    </row>
    <row r="12" spans="2:11" x14ac:dyDescent="0.25">
      <c r="B12" s="32"/>
      <c r="C12" s="33"/>
      <c r="D12" s="33"/>
      <c r="E12" s="33"/>
      <c r="F12" s="33"/>
      <c r="G12" s="33"/>
      <c r="H12" s="33"/>
      <c r="I12" s="34"/>
      <c r="J12" s="59"/>
      <c r="K12" s="60"/>
    </row>
    <row r="13" spans="2:11" x14ac:dyDescent="0.25">
      <c r="B13" s="29" t="s">
        <v>6</v>
      </c>
      <c r="C13" s="30"/>
      <c r="D13" s="30"/>
      <c r="E13" s="30"/>
      <c r="F13" s="30"/>
      <c r="G13" s="30"/>
      <c r="H13" s="30"/>
      <c r="I13" s="31"/>
      <c r="J13" s="61">
        <v>10</v>
      </c>
      <c r="K13" s="58"/>
    </row>
    <row r="14" spans="2:11" x14ac:dyDescent="0.25">
      <c r="B14" s="32"/>
      <c r="C14" s="33"/>
      <c r="D14" s="33"/>
      <c r="E14" s="33"/>
      <c r="F14" s="33"/>
      <c r="G14" s="33"/>
      <c r="H14" s="33"/>
      <c r="I14" s="34"/>
      <c r="J14" s="59"/>
      <c r="K14" s="60"/>
    </row>
    <row r="15" spans="2:11" x14ac:dyDescent="0.25">
      <c r="B15" s="29" t="s">
        <v>7</v>
      </c>
      <c r="C15" s="30"/>
      <c r="D15" s="30"/>
      <c r="E15" s="30"/>
      <c r="F15" s="30"/>
      <c r="G15" s="30"/>
      <c r="H15" s="30"/>
      <c r="I15" s="31"/>
      <c r="J15" s="57" t="s">
        <v>8</v>
      </c>
      <c r="K15" s="58"/>
    </row>
    <row r="16" spans="2:11" x14ac:dyDescent="0.25">
      <c r="B16" s="32"/>
      <c r="C16" s="33"/>
      <c r="D16" s="33"/>
      <c r="E16" s="33"/>
      <c r="F16" s="33"/>
      <c r="G16" s="33"/>
      <c r="H16" s="33"/>
      <c r="I16" s="34"/>
      <c r="J16" s="59"/>
      <c r="K16" s="60"/>
    </row>
    <row r="18" spans="2:11" ht="15" customHeight="1" x14ac:dyDescent="0.25">
      <c r="B18" s="20" t="s">
        <v>9</v>
      </c>
      <c r="C18" s="21"/>
      <c r="D18" s="21"/>
      <c r="E18" s="21"/>
      <c r="F18" s="21"/>
      <c r="G18" s="21"/>
      <c r="H18" s="21"/>
      <c r="I18" s="21"/>
      <c r="J18" s="22"/>
    </row>
    <row r="19" spans="2:11" x14ac:dyDescent="0.25">
      <c r="B19" s="23"/>
      <c r="C19" s="24"/>
      <c r="D19" s="24"/>
      <c r="E19" s="24"/>
      <c r="F19" s="24"/>
      <c r="G19" s="24"/>
      <c r="H19" s="24"/>
      <c r="I19" s="24"/>
      <c r="J19" s="25"/>
    </row>
    <row r="20" spans="2:11" x14ac:dyDescent="0.25">
      <c r="B20" s="26"/>
      <c r="C20" s="27"/>
      <c r="D20" s="27"/>
      <c r="E20" s="27"/>
      <c r="F20" s="27"/>
      <c r="G20" s="27"/>
      <c r="H20" s="27"/>
      <c r="I20" s="27"/>
      <c r="J20" s="28"/>
    </row>
    <row r="21" spans="2:11" x14ac:dyDescent="0.25">
      <c r="J21" s="18" t="s">
        <v>3</v>
      </c>
      <c r="K21" s="19"/>
    </row>
    <row r="22" spans="2:11" x14ac:dyDescent="0.25">
      <c r="B22" s="29" t="s">
        <v>10</v>
      </c>
      <c r="C22" s="30"/>
      <c r="D22" s="30"/>
      <c r="E22" s="30"/>
      <c r="F22" s="30"/>
      <c r="G22" s="30"/>
      <c r="H22" s="30"/>
      <c r="I22" s="31"/>
      <c r="J22" s="35"/>
      <c r="K22" s="36"/>
    </row>
    <row r="23" spans="2:11" x14ac:dyDescent="0.25">
      <c r="B23" s="32"/>
      <c r="C23" s="33"/>
      <c r="D23" s="33"/>
      <c r="E23" s="33"/>
      <c r="F23" s="33"/>
      <c r="G23" s="33"/>
      <c r="H23" s="33"/>
      <c r="I23" s="34"/>
      <c r="J23" s="37"/>
      <c r="K23" s="38"/>
    </row>
    <row r="24" spans="2:11" x14ac:dyDescent="0.25">
      <c r="B24" s="29" t="s">
        <v>11</v>
      </c>
      <c r="C24" s="30"/>
      <c r="D24" s="30"/>
      <c r="E24" s="30"/>
      <c r="F24" s="30"/>
      <c r="G24" s="30"/>
      <c r="H24" s="30"/>
      <c r="I24" s="31"/>
      <c r="J24" s="35"/>
      <c r="K24" s="36"/>
    </row>
    <row r="25" spans="2:11" x14ac:dyDescent="0.25">
      <c r="B25" s="32"/>
      <c r="C25" s="33"/>
      <c r="D25" s="33"/>
      <c r="E25" s="33"/>
      <c r="F25" s="33"/>
      <c r="G25" s="33"/>
      <c r="H25" s="33"/>
      <c r="I25" s="34"/>
      <c r="J25" s="37"/>
      <c r="K25" s="38"/>
    </row>
    <row r="26" spans="2:11" x14ac:dyDescent="0.25">
      <c r="B26" s="29" t="s">
        <v>12</v>
      </c>
      <c r="C26" s="30"/>
      <c r="D26" s="30"/>
      <c r="E26" s="30"/>
      <c r="F26" s="30"/>
      <c r="G26" s="30"/>
      <c r="H26" s="30"/>
      <c r="I26" s="31"/>
      <c r="J26" s="35"/>
      <c r="K26" s="36"/>
    </row>
    <row r="27" spans="2:11" x14ac:dyDescent="0.25">
      <c r="B27" s="32"/>
      <c r="C27" s="33"/>
      <c r="D27" s="33"/>
      <c r="E27" s="33"/>
      <c r="F27" s="33"/>
      <c r="G27" s="33"/>
      <c r="H27" s="33"/>
      <c r="I27" s="34"/>
      <c r="J27" s="37"/>
      <c r="K27" s="38"/>
    </row>
    <row r="28" spans="2:11" x14ac:dyDescent="0.25">
      <c r="B28" s="29" t="s">
        <v>13</v>
      </c>
      <c r="C28" s="30"/>
      <c r="D28" s="30"/>
      <c r="E28" s="30"/>
      <c r="F28" s="30"/>
      <c r="G28" s="30"/>
      <c r="H28" s="30"/>
      <c r="I28" s="31"/>
      <c r="J28" s="35"/>
      <c r="K28" s="36"/>
    </row>
    <row r="29" spans="2:11" x14ac:dyDescent="0.25">
      <c r="B29" s="32"/>
      <c r="C29" s="33"/>
      <c r="D29" s="33"/>
      <c r="E29" s="33"/>
      <c r="F29" s="33"/>
      <c r="G29" s="33"/>
      <c r="H29" s="33"/>
      <c r="I29" s="34"/>
      <c r="J29" s="37"/>
      <c r="K29" s="38"/>
    </row>
    <row r="30" spans="2:11" x14ac:dyDescent="0.25">
      <c r="B30" s="29" t="s">
        <v>14</v>
      </c>
      <c r="C30" s="30"/>
      <c r="D30" s="30"/>
      <c r="E30" s="30"/>
      <c r="F30" s="30"/>
      <c r="G30" s="30"/>
      <c r="H30" s="30"/>
      <c r="I30" s="31"/>
      <c r="J30" s="35"/>
      <c r="K30" s="36"/>
    </row>
    <row r="31" spans="2:11" x14ac:dyDescent="0.25">
      <c r="B31" s="32"/>
      <c r="C31" s="33"/>
      <c r="D31" s="33"/>
      <c r="E31" s="33"/>
      <c r="F31" s="33"/>
      <c r="G31" s="33"/>
      <c r="H31" s="33"/>
      <c r="I31" s="34"/>
      <c r="J31" s="37"/>
      <c r="K31" s="38"/>
    </row>
    <row r="32" spans="2:11" x14ac:dyDescent="0.25">
      <c r="B32" s="62" t="s">
        <v>15</v>
      </c>
      <c r="C32" s="62"/>
      <c r="D32" s="62"/>
      <c r="E32" s="62"/>
      <c r="F32" s="62"/>
      <c r="G32" s="62"/>
      <c r="H32" s="62"/>
      <c r="I32" s="62"/>
      <c r="J32" s="62"/>
      <c r="K32" s="62"/>
    </row>
    <row r="33" spans="2:14" x14ac:dyDescent="0.25">
      <c r="B33" s="62"/>
      <c r="C33" s="62"/>
      <c r="D33" s="62"/>
      <c r="E33" s="62"/>
      <c r="F33" s="62"/>
      <c r="G33" s="62"/>
      <c r="H33" s="62"/>
      <c r="I33" s="62"/>
      <c r="J33" s="62"/>
      <c r="K33" s="62"/>
    </row>
    <row r="34" spans="2:14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</row>
    <row r="35" spans="2:14" x14ac:dyDescent="0.25">
      <c r="C35" s="42" t="s">
        <v>16</v>
      </c>
      <c r="D35" s="43"/>
      <c r="E35" s="43"/>
      <c r="F35" s="43"/>
      <c r="G35" s="43"/>
      <c r="H35" s="43"/>
      <c r="I35" s="44"/>
    </row>
    <row r="36" spans="2:14" x14ac:dyDescent="0.25">
      <c r="C36" s="45"/>
      <c r="D36" s="46"/>
      <c r="E36" s="46"/>
      <c r="F36" s="46"/>
      <c r="G36" s="46"/>
      <c r="H36" s="46"/>
      <c r="I36" s="47"/>
    </row>
    <row r="41" spans="2:14" ht="15" customHeight="1" x14ac:dyDescent="0.25">
      <c r="B41" s="3"/>
      <c r="C41" s="3"/>
    </row>
    <row r="42" spans="2:14" ht="15" customHeight="1" x14ac:dyDescent="0.25">
      <c r="B42" s="15" t="s">
        <v>17</v>
      </c>
      <c r="C42" s="3"/>
      <c r="D42" s="3"/>
      <c r="E42" s="16" t="s">
        <v>127</v>
      </c>
      <c r="F42" s="16"/>
      <c r="G42" s="16"/>
      <c r="H42" s="16"/>
      <c r="I42" s="16"/>
      <c r="J42" s="16"/>
      <c r="K42" s="16"/>
    </row>
    <row r="43" spans="2:14" x14ac:dyDescent="0.25">
      <c r="J43" s="18" t="s">
        <v>3</v>
      </c>
      <c r="K43" s="19"/>
    </row>
    <row r="44" spans="2:14" x14ac:dyDescent="0.25">
      <c r="B44" s="29" t="s">
        <v>19</v>
      </c>
      <c r="C44" s="30"/>
      <c r="D44" s="30"/>
      <c r="E44" s="30"/>
      <c r="F44" s="30"/>
      <c r="G44" s="30"/>
      <c r="H44" s="30"/>
      <c r="I44" s="31"/>
      <c r="J44" s="35"/>
      <c r="K44" s="36"/>
      <c r="N44" s="17">
        <v>1.0416666666666666E-2</v>
      </c>
    </row>
    <row r="45" spans="2:14" x14ac:dyDescent="0.25">
      <c r="B45" s="32"/>
      <c r="C45" s="33"/>
      <c r="D45" s="33"/>
      <c r="E45" s="33"/>
      <c r="F45" s="33"/>
      <c r="G45" s="33"/>
      <c r="H45" s="33"/>
      <c r="I45" s="34"/>
      <c r="J45" s="37"/>
      <c r="K45" s="38"/>
    </row>
    <row r="46" spans="2:14" x14ac:dyDescent="0.25">
      <c r="B46" s="29" t="s">
        <v>43</v>
      </c>
      <c r="C46" s="30"/>
      <c r="D46" s="30"/>
      <c r="E46" s="30"/>
      <c r="F46" s="30"/>
      <c r="G46" s="30"/>
      <c r="H46" s="30"/>
      <c r="I46" s="31"/>
      <c r="J46" s="35"/>
      <c r="K46" s="36"/>
    </row>
    <row r="47" spans="2:14" x14ac:dyDescent="0.25">
      <c r="B47" s="32"/>
      <c r="C47" s="33"/>
      <c r="D47" s="33"/>
      <c r="E47" s="33"/>
      <c r="F47" s="33"/>
      <c r="G47" s="33"/>
      <c r="H47" s="33"/>
      <c r="I47" s="34"/>
      <c r="J47" s="37"/>
      <c r="K47" s="38"/>
    </row>
    <row r="48" spans="2:14" x14ac:dyDescent="0.25">
      <c r="B48" s="29" t="s">
        <v>20</v>
      </c>
      <c r="C48" s="30"/>
      <c r="D48" s="30"/>
      <c r="E48" s="30"/>
      <c r="F48" s="30"/>
      <c r="G48" s="30"/>
      <c r="H48" s="30"/>
      <c r="I48" s="31"/>
      <c r="J48" s="35"/>
      <c r="K48" s="36"/>
    </row>
    <row r="49" spans="2:11" x14ac:dyDescent="0.25">
      <c r="B49" s="32"/>
      <c r="C49" s="33"/>
      <c r="D49" s="33"/>
      <c r="E49" s="33"/>
      <c r="F49" s="33"/>
      <c r="G49" s="33"/>
      <c r="H49" s="33"/>
      <c r="I49" s="34"/>
      <c r="J49" s="37"/>
      <c r="K49" s="38"/>
    </row>
    <row r="50" spans="2:11" x14ac:dyDescent="0.25">
      <c r="B50" s="29" t="s">
        <v>21</v>
      </c>
      <c r="C50" s="30"/>
      <c r="D50" s="30"/>
      <c r="E50" s="30"/>
      <c r="F50" s="30"/>
      <c r="G50" s="30"/>
      <c r="H50" s="30"/>
      <c r="I50" s="31"/>
      <c r="J50" s="35"/>
      <c r="K50" s="36"/>
    </row>
    <row r="51" spans="2:11" x14ac:dyDescent="0.25">
      <c r="B51" s="32"/>
      <c r="C51" s="33"/>
      <c r="D51" s="33"/>
      <c r="E51" s="33"/>
      <c r="F51" s="33"/>
      <c r="G51" s="33"/>
      <c r="H51" s="33"/>
      <c r="I51" s="34"/>
      <c r="J51" s="37"/>
      <c r="K51" s="38"/>
    </row>
    <row r="52" spans="2:11" x14ac:dyDescent="0.25">
      <c r="B52" s="29" t="s">
        <v>22</v>
      </c>
      <c r="C52" s="30"/>
      <c r="D52" s="30"/>
      <c r="E52" s="30"/>
      <c r="F52" s="30"/>
      <c r="G52" s="30"/>
      <c r="H52" s="30"/>
      <c r="I52" s="31"/>
      <c r="J52" s="35"/>
      <c r="K52" s="36"/>
    </row>
    <row r="53" spans="2:11" x14ac:dyDescent="0.25">
      <c r="B53" s="32"/>
      <c r="C53" s="33"/>
      <c r="D53" s="33"/>
      <c r="E53" s="33"/>
      <c r="F53" s="33"/>
      <c r="G53" s="33"/>
      <c r="H53" s="33"/>
      <c r="I53" s="34"/>
      <c r="J53" s="37"/>
      <c r="K53" s="38"/>
    </row>
    <row r="54" spans="2:11" x14ac:dyDescent="0.25">
      <c r="B54" s="29" t="s">
        <v>23</v>
      </c>
      <c r="C54" s="30"/>
      <c r="D54" s="30"/>
      <c r="E54" s="30"/>
      <c r="F54" s="30"/>
      <c r="G54" s="30"/>
      <c r="H54" s="30"/>
      <c r="I54" s="31"/>
      <c r="J54" s="35"/>
      <c r="K54" s="36"/>
    </row>
    <row r="55" spans="2:11" x14ac:dyDescent="0.25">
      <c r="B55" s="32"/>
      <c r="C55" s="33"/>
      <c r="D55" s="33"/>
      <c r="E55" s="33"/>
      <c r="F55" s="33"/>
      <c r="G55" s="33"/>
      <c r="H55" s="33"/>
      <c r="I55" s="34"/>
      <c r="J55" s="37"/>
      <c r="K55" s="38"/>
    </row>
    <row r="56" spans="2:11" x14ac:dyDescent="0.25">
      <c r="B56" s="29" t="s">
        <v>24</v>
      </c>
      <c r="C56" s="30"/>
      <c r="D56" s="30"/>
      <c r="E56" s="30"/>
      <c r="F56" s="30"/>
      <c r="G56" s="30"/>
      <c r="H56" s="30"/>
      <c r="I56" s="31"/>
      <c r="J56" s="35"/>
      <c r="K56" s="36"/>
    </row>
    <row r="57" spans="2:11" x14ac:dyDescent="0.25">
      <c r="B57" s="32"/>
      <c r="C57" s="33"/>
      <c r="D57" s="33"/>
      <c r="E57" s="33"/>
      <c r="F57" s="33"/>
      <c r="G57" s="33"/>
      <c r="H57" s="33"/>
      <c r="I57" s="34"/>
      <c r="J57" s="37"/>
      <c r="K57" s="38"/>
    </row>
    <row r="58" spans="2:11" x14ac:dyDescent="0.25">
      <c r="B58" s="29" t="s">
        <v>114</v>
      </c>
      <c r="C58" s="30"/>
      <c r="D58" s="30"/>
      <c r="E58" s="30"/>
      <c r="F58" s="30"/>
      <c r="G58" s="30"/>
      <c r="H58" s="30"/>
      <c r="I58" s="31"/>
      <c r="J58" s="35"/>
      <c r="K58" s="36"/>
    </row>
    <row r="59" spans="2:11" x14ac:dyDescent="0.25">
      <c r="B59" s="32"/>
      <c r="C59" s="33"/>
      <c r="D59" s="33"/>
      <c r="E59" s="33"/>
      <c r="F59" s="33"/>
      <c r="G59" s="33"/>
      <c r="H59" s="33"/>
      <c r="I59" s="34"/>
      <c r="J59" s="37"/>
      <c r="K59" s="38"/>
    </row>
    <row r="60" spans="2:11" x14ac:dyDescent="0.25">
      <c r="B60" s="29" t="s">
        <v>25</v>
      </c>
      <c r="C60" s="30"/>
      <c r="D60" s="30"/>
      <c r="E60" s="30"/>
      <c r="F60" s="30"/>
      <c r="G60" s="30"/>
      <c r="H60" s="30"/>
      <c r="I60" s="31"/>
      <c r="J60" s="35"/>
      <c r="K60" s="36"/>
    </row>
    <row r="61" spans="2:11" x14ac:dyDescent="0.25">
      <c r="B61" s="32"/>
      <c r="C61" s="33"/>
      <c r="D61" s="33"/>
      <c r="E61" s="33"/>
      <c r="F61" s="33"/>
      <c r="G61" s="33"/>
      <c r="H61" s="33"/>
      <c r="I61" s="34"/>
      <c r="J61" s="37"/>
      <c r="K61" s="38"/>
    </row>
    <row r="62" spans="2:11" x14ac:dyDescent="0.25">
      <c r="B62" s="29" t="s">
        <v>26</v>
      </c>
      <c r="C62" s="30"/>
      <c r="D62" s="30"/>
      <c r="E62" s="30"/>
      <c r="F62" s="30"/>
      <c r="G62" s="30"/>
      <c r="H62" s="30"/>
      <c r="I62" s="31"/>
      <c r="J62" s="35"/>
      <c r="K62" s="36"/>
    </row>
    <row r="63" spans="2:11" x14ac:dyDescent="0.25">
      <c r="B63" s="32"/>
      <c r="C63" s="33"/>
      <c r="D63" s="33"/>
      <c r="E63" s="33"/>
      <c r="F63" s="33"/>
      <c r="G63" s="33"/>
      <c r="H63" s="33"/>
      <c r="I63" s="34"/>
      <c r="J63" s="37"/>
      <c r="K63" s="38"/>
    </row>
    <row r="64" spans="2:11" x14ac:dyDescent="0.25">
      <c r="B64" s="29" t="s">
        <v>27</v>
      </c>
      <c r="C64" s="30"/>
      <c r="D64" s="30"/>
      <c r="E64" s="30"/>
      <c r="F64" s="30"/>
      <c r="G64" s="30"/>
      <c r="H64" s="30"/>
      <c r="I64" s="31"/>
      <c r="J64" s="35"/>
      <c r="K64" s="36"/>
    </row>
    <row r="65" spans="2:11" x14ac:dyDescent="0.25">
      <c r="B65" s="32"/>
      <c r="C65" s="33"/>
      <c r="D65" s="33"/>
      <c r="E65" s="33"/>
      <c r="F65" s="33"/>
      <c r="G65" s="33"/>
      <c r="H65" s="33"/>
      <c r="I65" s="34"/>
      <c r="J65" s="37"/>
      <c r="K65" s="38"/>
    </row>
    <row r="66" spans="2:11" x14ac:dyDescent="0.25">
      <c r="B66" s="29" t="s">
        <v>28</v>
      </c>
      <c r="C66" s="30"/>
      <c r="D66" s="30"/>
      <c r="E66" s="30"/>
      <c r="F66" s="30"/>
      <c r="G66" s="30"/>
      <c r="H66" s="30"/>
      <c r="I66" s="31"/>
      <c r="J66" s="35"/>
      <c r="K66" s="36"/>
    </row>
    <row r="67" spans="2:11" x14ac:dyDescent="0.25">
      <c r="B67" s="32"/>
      <c r="C67" s="33"/>
      <c r="D67" s="33"/>
      <c r="E67" s="33"/>
      <c r="F67" s="33"/>
      <c r="G67" s="33"/>
      <c r="H67" s="33"/>
      <c r="I67" s="34"/>
      <c r="J67" s="37"/>
      <c r="K67" s="38"/>
    </row>
    <row r="68" spans="2:11" x14ac:dyDescent="0.25">
      <c r="B68" s="29" t="s">
        <v>29</v>
      </c>
      <c r="C68" s="30"/>
      <c r="D68" s="30"/>
      <c r="E68" s="30"/>
      <c r="F68" s="30"/>
      <c r="G68" s="30"/>
      <c r="H68" s="30"/>
      <c r="I68" s="31"/>
      <c r="J68" s="35"/>
      <c r="K68" s="36"/>
    </row>
    <row r="69" spans="2:11" x14ac:dyDescent="0.25">
      <c r="B69" s="32"/>
      <c r="C69" s="33"/>
      <c r="D69" s="33"/>
      <c r="E69" s="33"/>
      <c r="F69" s="33"/>
      <c r="G69" s="33"/>
      <c r="H69" s="33"/>
      <c r="I69" s="34"/>
      <c r="J69" s="37"/>
      <c r="K69" s="38"/>
    </row>
    <row r="70" spans="2:11" x14ac:dyDescent="0.25">
      <c r="B70" s="29" t="s">
        <v>30</v>
      </c>
      <c r="C70" s="30"/>
      <c r="D70" s="30"/>
      <c r="E70" s="30"/>
      <c r="F70" s="30"/>
      <c r="G70" s="30"/>
      <c r="H70" s="30"/>
      <c r="I70" s="31"/>
      <c r="J70" s="35"/>
      <c r="K70" s="36"/>
    </row>
    <row r="71" spans="2:11" x14ac:dyDescent="0.25">
      <c r="B71" s="32"/>
      <c r="C71" s="33"/>
      <c r="D71" s="33"/>
      <c r="E71" s="33"/>
      <c r="F71" s="33"/>
      <c r="G71" s="33"/>
      <c r="H71" s="33"/>
      <c r="I71" s="34"/>
      <c r="J71" s="37"/>
      <c r="K71" s="38"/>
    </row>
    <row r="72" spans="2:11" x14ac:dyDescent="0.25">
      <c r="B72" s="29" t="s">
        <v>31</v>
      </c>
      <c r="C72" s="30"/>
      <c r="D72" s="30"/>
      <c r="E72" s="30"/>
      <c r="F72" s="30"/>
      <c r="G72" s="30"/>
      <c r="H72" s="30"/>
      <c r="I72" s="31"/>
      <c r="J72" s="35"/>
      <c r="K72" s="36"/>
    </row>
    <row r="73" spans="2:11" x14ac:dyDescent="0.25">
      <c r="B73" s="32"/>
      <c r="C73" s="33"/>
      <c r="D73" s="33"/>
      <c r="E73" s="33"/>
      <c r="F73" s="33"/>
      <c r="G73" s="33"/>
      <c r="H73" s="33"/>
      <c r="I73" s="34"/>
      <c r="J73" s="37"/>
      <c r="K73" s="38"/>
    </row>
    <row r="74" spans="2:11" x14ac:dyDescent="0.25">
      <c r="B74" s="29" t="s">
        <v>32</v>
      </c>
      <c r="C74" s="30"/>
      <c r="D74" s="30"/>
      <c r="E74" s="30"/>
      <c r="F74" s="30"/>
      <c r="G74" s="30"/>
      <c r="H74" s="30"/>
      <c r="I74" s="31"/>
      <c r="J74" s="35"/>
      <c r="K74" s="36"/>
    </row>
    <row r="75" spans="2:11" x14ac:dyDescent="0.25">
      <c r="B75" s="32"/>
      <c r="C75" s="33"/>
      <c r="D75" s="33"/>
      <c r="E75" s="33"/>
      <c r="F75" s="33"/>
      <c r="G75" s="33"/>
      <c r="H75" s="33"/>
      <c r="I75" s="34"/>
      <c r="J75" s="37"/>
      <c r="K75" s="38"/>
    </row>
    <row r="76" spans="2:11" x14ac:dyDescent="0.25">
      <c r="B76" s="29" t="s">
        <v>33</v>
      </c>
      <c r="C76" s="30"/>
      <c r="D76" s="30"/>
      <c r="E76" s="30"/>
      <c r="F76" s="30"/>
      <c r="G76" s="30"/>
      <c r="H76" s="30"/>
      <c r="I76" s="31"/>
      <c r="J76" s="35"/>
      <c r="K76" s="36"/>
    </row>
    <row r="77" spans="2:11" x14ac:dyDescent="0.25">
      <c r="B77" s="32"/>
      <c r="C77" s="33"/>
      <c r="D77" s="33"/>
      <c r="E77" s="33"/>
      <c r="F77" s="33"/>
      <c r="G77" s="33"/>
      <c r="H77" s="33"/>
      <c r="I77" s="34"/>
      <c r="J77" s="37"/>
      <c r="K77" s="38"/>
    </row>
    <row r="78" spans="2:11" x14ac:dyDescent="0.25">
      <c r="B78" s="29" t="s">
        <v>129</v>
      </c>
      <c r="C78" s="30"/>
      <c r="D78" s="30"/>
      <c r="E78" s="30"/>
      <c r="F78" s="30"/>
      <c r="G78" s="30"/>
      <c r="H78" s="30"/>
      <c r="I78" s="31"/>
      <c r="J78" s="35"/>
      <c r="K78" s="36"/>
    </row>
    <row r="79" spans="2:11" x14ac:dyDescent="0.25">
      <c r="B79" s="32"/>
      <c r="C79" s="33"/>
      <c r="D79" s="33"/>
      <c r="E79" s="33"/>
      <c r="F79" s="33"/>
      <c r="G79" s="33"/>
      <c r="H79" s="33"/>
      <c r="I79" s="34"/>
      <c r="J79" s="37"/>
      <c r="K79" s="38"/>
    </row>
    <row r="80" spans="2:11" x14ac:dyDescent="0.25">
      <c r="B80" s="29" t="s">
        <v>34</v>
      </c>
      <c r="C80" s="30"/>
      <c r="D80" s="30"/>
      <c r="E80" s="30"/>
      <c r="F80" s="30"/>
      <c r="G80" s="30"/>
      <c r="H80" s="30"/>
      <c r="I80" s="31"/>
      <c r="J80" s="35"/>
      <c r="K80" s="36"/>
    </row>
    <row r="81" spans="2:11" x14ac:dyDescent="0.25">
      <c r="B81" s="32"/>
      <c r="C81" s="33"/>
      <c r="D81" s="33"/>
      <c r="E81" s="33"/>
      <c r="F81" s="33"/>
      <c r="G81" s="33"/>
      <c r="H81" s="33"/>
      <c r="I81" s="34"/>
      <c r="J81" s="37"/>
      <c r="K81" s="38"/>
    </row>
    <row r="82" spans="2:11" x14ac:dyDescent="0.25">
      <c r="B82" s="29" t="s">
        <v>35</v>
      </c>
      <c r="C82" s="30"/>
      <c r="D82" s="30"/>
      <c r="E82" s="30"/>
      <c r="F82" s="30"/>
      <c r="G82" s="30"/>
      <c r="H82" s="30"/>
      <c r="I82" s="31"/>
      <c r="J82" s="35"/>
      <c r="K82" s="36"/>
    </row>
    <row r="83" spans="2:11" x14ac:dyDescent="0.25">
      <c r="B83" s="32"/>
      <c r="C83" s="33"/>
      <c r="D83" s="33"/>
      <c r="E83" s="33"/>
      <c r="F83" s="33"/>
      <c r="G83" s="33"/>
      <c r="H83" s="33"/>
      <c r="I83" s="34"/>
      <c r="J83" s="37"/>
      <c r="K83" s="38"/>
    </row>
    <row r="84" spans="2:11" x14ac:dyDescent="0.25">
      <c r="B84" s="29" t="s">
        <v>36</v>
      </c>
      <c r="C84" s="30"/>
      <c r="D84" s="30"/>
      <c r="E84" s="30"/>
      <c r="F84" s="30"/>
      <c r="G84" s="30"/>
      <c r="H84" s="30"/>
      <c r="I84" s="31"/>
      <c r="J84" s="35"/>
      <c r="K84" s="36"/>
    </row>
    <row r="85" spans="2:11" x14ac:dyDescent="0.25">
      <c r="B85" s="32"/>
      <c r="C85" s="33"/>
      <c r="D85" s="33"/>
      <c r="E85" s="33"/>
      <c r="F85" s="33"/>
      <c r="G85" s="33"/>
      <c r="H85" s="33"/>
      <c r="I85" s="34"/>
      <c r="J85" s="37"/>
      <c r="K85" s="38"/>
    </row>
    <row r="86" spans="2:11" x14ac:dyDescent="0.25">
      <c r="B86" s="29" t="s">
        <v>37</v>
      </c>
      <c r="C86" s="30"/>
      <c r="D86" s="30"/>
      <c r="E86" s="30"/>
      <c r="F86" s="30"/>
      <c r="G86" s="30"/>
      <c r="H86" s="30"/>
      <c r="I86" s="31"/>
      <c r="J86" s="35"/>
      <c r="K86" s="36"/>
    </row>
    <row r="87" spans="2:11" x14ac:dyDescent="0.25">
      <c r="B87" s="32"/>
      <c r="C87" s="33"/>
      <c r="D87" s="33"/>
      <c r="E87" s="33"/>
      <c r="F87" s="33"/>
      <c r="G87" s="33"/>
      <c r="H87" s="33"/>
      <c r="I87" s="34"/>
      <c r="J87" s="37"/>
      <c r="K87" s="38"/>
    </row>
    <row r="88" spans="2:11" x14ac:dyDescent="0.25">
      <c r="B88" s="29" t="s">
        <v>38</v>
      </c>
      <c r="C88" s="30"/>
      <c r="D88" s="30"/>
      <c r="E88" s="30"/>
      <c r="F88" s="30"/>
      <c r="G88" s="30"/>
      <c r="H88" s="30"/>
      <c r="I88" s="31"/>
      <c r="J88" s="35"/>
      <c r="K88" s="36"/>
    </row>
    <row r="89" spans="2:11" x14ac:dyDescent="0.25">
      <c r="B89" s="32"/>
      <c r="C89" s="33"/>
      <c r="D89" s="33"/>
      <c r="E89" s="33"/>
      <c r="F89" s="33"/>
      <c r="G89" s="33"/>
      <c r="H89" s="33"/>
      <c r="I89" s="34"/>
      <c r="J89" s="37"/>
      <c r="K89" s="38"/>
    </row>
    <row r="90" spans="2:11" x14ac:dyDescent="0.25">
      <c r="B90" s="29" t="s">
        <v>39</v>
      </c>
      <c r="C90" s="30"/>
      <c r="D90" s="30"/>
      <c r="E90" s="30"/>
      <c r="F90" s="30"/>
      <c r="G90" s="30"/>
      <c r="H90" s="30"/>
      <c r="I90" s="31"/>
      <c r="J90" s="35"/>
      <c r="K90" s="36"/>
    </row>
    <row r="91" spans="2:11" x14ac:dyDescent="0.25">
      <c r="B91" s="32"/>
      <c r="C91" s="33"/>
      <c r="D91" s="33"/>
      <c r="E91" s="33"/>
      <c r="F91" s="33"/>
      <c r="G91" s="33"/>
      <c r="H91" s="33"/>
      <c r="I91" s="34"/>
      <c r="J91" s="37"/>
      <c r="K91" s="38"/>
    </row>
    <row r="92" spans="2:11" x14ac:dyDescent="0.25">
      <c r="B92" s="29" t="s">
        <v>40</v>
      </c>
      <c r="C92" s="30"/>
      <c r="D92" s="30"/>
      <c r="E92" s="30"/>
      <c r="F92" s="30"/>
      <c r="G92" s="30"/>
      <c r="H92" s="30"/>
      <c r="I92" s="31"/>
      <c r="J92" s="35"/>
      <c r="K92" s="36"/>
    </row>
    <row r="93" spans="2:11" x14ac:dyDescent="0.25">
      <c r="B93" s="32"/>
      <c r="C93" s="33"/>
      <c r="D93" s="33"/>
      <c r="E93" s="33"/>
      <c r="F93" s="33"/>
      <c r="G93" s="33"/>
      <c r="H93" s="33"/>
      <c r="I93" s="34"/>
      <c r="J93" s="37"/>
      <c r="K93" s="38"/>
    </row>
    <row r="94" spans="2:11" x14ac:dyDescent="0.25">
      <c r="B94" s="29" t="s">
        <v>41</v>
      </c>
      <c r="C94" s="30"/>
      <c r="D94" s="30"/>
      <c r="E94" s="30"/>
      <c r="F94" s="30"/>
      <c r="G94" s="30"/>
      <c r="H94" s="30"/>
      <c r="I94" s="31"/>
      <c r="J94" s="35"/>
      <c r="K94" s="36"/>
    </row>
    <row r="95" spans="2:11" x14ac:dyDescent="0.25">
      <c r="B95" s="32"/>
      <c r="C95" s="33"/>
      <c r="D95" s="33"/>
      <c r="E95" s="33"/>
      <c r="F95" s="33"/>
      <c r="G95" s="33"/>
      <c r="H95" s="33"/>
      <c r="I95" s="34"/>
      <c r="J95" s="37"/>
      <c r="K95" s="38"/>
    </row>
    <row r="96" spans="2:11" x14ac:dyDescent="0.25">
      <c r="B96" s="29" t="s">
        <v>18</v>
      </c>
      <c r="C96" s="30"/>
      <c r="D96" s="30"/>
      <c r="E96" s="30"/>
      <c r="F96" s="30"/>
      <c r="G96" s="30"/>
      <c r="H96" s="30"/>
      <c r="I96" s="31"/>
      <c r="J96" s="35"/>
      <c r="K96" s="36"/>
    </row>
    <row r="97" spans="2:12" x14ac:dyDescent="0.25">
      <c r="B97" s="32"/>
      <c r="C97" s="33"/>
      <c r="D97" s="33"/>
      <c r="E97" s="33"/>
      <c r="F97" s="33"/>
      <c r="G97" s="33"/>
      <c r="H97" s="33"/>
      <c r="I97" s="34"/>
      <c r="J97" s="37"/>
      <c r="K97" s="38"/>
    </row>
    <row r="98" spans="2:12" x14ac:dyDescent="0.25">
      <c r="B98" s="29" t="s">
        <v>42</v>
      </c>
      <c r="C98" s="30"/>
      <c r="D98" s="30"/>
      <c r="E98" s="30"/>
      <c r="F98" s="30"/>
      <c r="G98" s="30"/>
      <c r="H98" s="30"/>
      <c r="I98" s="31"/>
      <c r="J98" s="35"/>
      <c r="K98" s="36"/>
    </row>
    <row r="99" spans="2:12" x14ac:dyDescent="0.25">
      <c r="B99" s="32"/>
      <c r="C99" s="33"/>
      <c r="D99" s="33"/>
      <c r="E99" s="33"/>
      <c r="F99" s="33"/>
      <c r="G99" s="33"/>
      <c r="H99" s="33"/>
      <c r="I99" s="34"/>
      <c r="J99" s="37"/>
      <c r="K99" s="38"/>
    </row>
    <row r="100" spans="2:12" x14ac:dyDescent="0.25">
      <c r="B100" s="6"/>
      <c r="C100" s="4"/>
      <c r="D100" s="4"/>
      <c r="E100" s="4"/>
      <c r="F100" s="4"/>
      <c r="G100" s="4"/>
      <c r="H100" s="4"/>
      <c r="I100" s="6"/>
      <c r="J100" s="5"/>
      <c r="K100" s="5"/>
      <c r="L100" s="7"/>
    </row>
    <row r="101" spans="2:12" x14ac:dyDescent="0.25">
      <c r="B101" s="29" t="s">
        <v>45</v>
      </c>
      <c r="C101" s="30"/>
      <c r="D101" s="30"/>
      <c r="E101" s="30"/>
      <c r="F101" s="30"/>
      <c r="G101" s="30"/>
      <c r="H101" s="30"/>
      <c r="I101" s="31"/>
      <c r="J101" s="35"/>
      <c r="K101" s="36"/>
    </row>
    <row r="102" spans="2:12" x14ac:dyDescent="0.25">
      <c r="B102" s="32"/>
      <c r="C102" s="33"/>
      <c r="D102" s="33"/>
      <c r="E102" s="33"/>
      <c r="F102" s="33"/>
      <c r="G102" s="33"/>
      <c r="H102" s="33"/>
      <c r="I102" s="34"/>
      <c r="J102" s="37"/>
      <c r="K102" s="38"/>
    </row>
    <row r="103" spans="2:12" x14ac:dyDescent="0.25">
      <c r="B103" s="29" t="s">
        <v>46</v>
      </c>
      <c r="C103" s="30"/>
      <c r="D103" s="30"/>
      <c r="E103" s="30"/>
      <c r="F103" s="30"/>
      <c r="G103" s="30"/>
      <c r="H103" s="30"/>
      <c r="I103" s="31"/>
      <c r="J103" s="35"/>
      <c r="K103" s="36"/>
    </row>
    <row r="104" spans="2:12" x14ac:dyDescent="0.25">
      <c r="B104" s="32"/>
      <c r="C104" s="33"/>
      <c r="D104" s="33"/>
      <c r="E104" s="33"/>
      <c r="F104" s="33"/>
      <c r="G104" s="33"/>
      <c r="H104" s="33"/>
      <c r="I104" s="34"/>
      <c r="J104" s="37"/>
      <c r="K104" s="38"/>
    </row>
    <row r="105" spans="2:12" x14ac:dyDescent="0.25">
      <c r="B105" s="29" t="s">
        <v>47</v>
      </c>
      <c r="C105" s="30"/>
      <c r="D105" s="30"/>
      <c r="E105" s="30"/>
      <c r="F105" s="30"/>
      <c r="G105" s="30"/>
      <c r="H105" s="30"/>
      <c r="I105" s="31"/>
      <c r="J105" s="35"/>
      <c r="K105" s="36"/>
    </row>
    <row r="106" spans="2:12" x14ac:dyDescent="0.25">
      <c r="B106" s="32"/>
      <c r="C106" s="33"/>
      <c r="D106" s="33"/>
      <c r="E106" s="33"/>
      <c r="F106" s="33"/>
      <c r="G106" s="33"/>
      <c r="H106" s="33"/>
      <c r="I106" s="34"/>
      <c r="J106" s="37"/>
      <c r="K106" s="38"/>
    </row>
    <row r="107" spans="2:12" x14ac:dyDescent="0.25">
      <c r="B107" s="29" t="s">
        <v>48</v>
      </c>
      <c r="C107" s="30"/>
      <c r="D107" s="30"/>
      <c r="E107" s="30"/>
      <c r="F107" s="30"/>
      <c r="G107" s="30"/>
      <c r="H107" s="30"/>
      <c r="I107" s="31"/>
      <c r="J107" s="35"/>
      <c r="K107" s="36"/>
    </row>
    <row r="108" spans="2:12" x14ac:dyDescent="0.25">
      <c r="B108" s="32"/>
      <c r="C108" s="33"/>
      <c r="D108" s="33"/>
      <c r="E108" s="33"/>
      <c r="F108" s="33"/>
      <c r="G108" s="33"/>
      <c r="H108" s="33"/>
      <c r="I108" s="34"/>
      <c r="J108" s="37"/>
      <c r="K108" s="38"/>
    </row>
    <row r="109" spans="2:12" x14ac:dyDescent="0.25">
      <c r="B109" s="29" t="s">
        <v>44</v>
      </c>
      <c r="C109" s="30"/>
      <c r="D109" s="30"/>
      <c r="E109" s="30"/>
      <c r="F109" s="30"/>
      <c r="G109" s="30"/>
      <c r="H109" s="30"/>
      <c r="I109" s="31"/>
      <c r="J109" s="35"/>
      <c r="K109" s="36"/>
    </row>
    <row r="110" spans="2:12" x14ac:dyDescent="0.25">
      <c r="B110" s="32"/>
      <c r="C110" s="33"/>
      <c r="D110" s="33"/>
      <c r="E110" s="33"/>
      <c r="F110" s="33"/>
      <c r="G110" s="33"/>
      <c r="H110" s="33"/>
      <c r="I110" s="34"/>
      <c r="J110" s="37"/>
      <c r="K110" s="38"/>
    </row>
    <row r="111" spans="2:12" x14ac:dyDescent="0.25">
      <c r="B111" s="29" t="s">
        <v>49</v>
      </c>
      <c r="C111" s="30"/>
      <c r="D111" s="30"/>
      <c r="E111" s="30"/>
      <c r="F111" s="30"/>
      <c r="G111" s="30"/>
      <c r="H111" s="30"/>
      <c r="I111" s="31"/>
      <c r="J111" s="35"/>
      <c r="K111" s="36"/>
    </row>
    <row r="112" spans="2:12" x14ac:dyDescent="0.25">
      <c r="B112" s="32"/>
      <c r="C112" s="33"/>
      <c r="D112" s="33"/>
      <c r="E112" s="33"/>
      <c r="F112" s="33"/>
      <c r="G112" s="33"/>
      <c r="H112" s="33"/>
      <c r="I112" s="34"/>
      <c r="J112" s="37"/>
      <c r="K112" s="38"/>
    </row>
    <row r="113" spans="2:11" x14ac:dyDescent="0.25">
      <c r="B113" s="29" t="s">
        <v>50</v>
      </c>
      <c r="C113" s="30"/>
      <c r="D113" s="30"/>
      <c r="E113" s="30"/>
      <c r="F113" s="30"/>
      <c r="G113" s="30"/>
      <c r="H113" s="30"/>
      <c r="I113" s="31"/>
      <c r="J113" s="35"/>
      <c r="K113" s="36"/>
    </row>
    <row r="114" spans="2:11" x14ac:dyDescent="0.25">
      <c r="B114" s="32"/>
      <c r="C114" s="33"/>
      <c r="D114" s="33"/>
      <c r="E114" s="33"/>
      <c r="F114" s="33"/>
      <c r="G114" s="33"/>
      <c r="H114" s="33"/>
      <c r="I114" s="34"/>
      <c r="J114" s="37"/>
      <c r="K114" s="38"/>
    </row>
    <row r="115" spans="2:11" x14ac:dyDescent="0.25">
      <c r="B115" s="29" t="s">
        <v>51</v>
      </c>
      <c r="C115" s="30"/>
      <c r="D115" s="30"/>
      <c r="E115" s="30"/>
      <c r="F115" s="30"/>
      <c r="G115" s="30"/>
      <c r="H115" s="30"/>
      <c r="I115" s="31"/>
      <c r="J115" s="35"/>
      <c r="K115" s="36"/>
    </row>
    <row r="116" spans="2:11" x14ac:dyDescent="0.25">
      <c r="B116" s="32"/>
      <c r="C116" s="33"/>
      <c r="D116" s="33"/>
      <c r="E116" s="33"/>
      <c r="F116" s="33"/>
      <c r="G116" s="33"/>
      <c r="H116" s="33"/>
      <c r="I116" s="34"/>
      <c r="J116" s="37"/>
      <c r="K116" s="38"/>
    </row>
    <row r="117" spans="2:11" x14ac:dyDescent="0.25">
      <c r="B117" s="29" t="s">
        <v>52</v>
      </c>
      <c r="C117" s="30"/>
      <c r="D117" s="30"/>
      <c r="E117" s="30"/>
      <c r="F117" s="30"/>
      <c r="G117" s="30"/>
      <c r="H117" s="30"/>
      <c r="I117" s="31"/>
      <c r="J117" s="35"/>
      <c r="K117" s="36"/>
    </row>
    <row r="118" spans="2:11" x14ac:dyDescent="0.25">
      <c r="B118" s="32"/>
      <c r="C118" s="33"/>
      <c r="D118" s="33"/>
      <c r="E118" s="33"/>
      <c r="F118" s="33"/>
      <c r="G118" s="33"/>
      <c r="H118" s="33"/>
      <c r="I118" s="34"/>
      <c r="J118" s="37"/>
      <c r="K118" s="38"/>
    </row>
    <row r="119" spans="2:11" x14ac:dyDescent="0.25">
      <c r="B119" s="29" t="s">
        <v>53</v>
      </c>
      <c r="C119" s="30"/>
      <c r="D119" s="30"/>
      <c r="E119" s="30"/>
      <c r="F119" s="30"/>
      <c r="G119" s="30"/>
      <c r="H119" s="30"/>
      <c r="I119" s="31"/>
      <c r="J119" s="35"/>
      <c r="K119" s="36"/>
    </row>
    <row r="120" spans="2:11" x14ac:dyDescent="0.25">
      <c r="B120" s="32"/>
      <c r="C120" s="33"/>
      <c r="D120" s="33"/>
      <c r="E120" s="33"/>
      <c r="F120" s="33"/>
      <c r="G120" s="33"/>
      <c r="H120" s="33"/>
      <c r="I120" s="34"/>
      <c r="J120" s="37"/>
      <c r="K120" s="38"/>
    </row>
    <row r="121" spans="2:11" x14ac:dyDescent="0.25">
      <c r="B121" s="29" t="s">
        <v>54</v>
      </c>
      <c r="C121" s="30"/>
      <c r="D121" s="30"/>
      <c r="E121" s="30"/>
      <c r="F121" s="30"/>
      <c r="G121" s="30"/>
      <c r="H121" s="30"/>
      <c r="I121" s="31"/>
      <c r="J121" s="35"/>
      <c r="K121" s="36"/>
    </row>
    <row r="122" spans="2:11" x14ac:dyDescent="0.25">
      <c r="B122" s="32"/>
      <c r="C122" s="33"/>
      <c r="D122" s="33"/>
      <c r="E122" s="33"/>
      <c r="F122" s="33"/>
      <c r="G122" s="33"/>
      <c r="H122" s="33"/>
      <c r="I122" s="34"/>
      <c r="J122" s="37"/>
      <c r="K122" s="38"/>
    </row>
    <row r="123" spans="2:11" x14ac:dyDescent="0.25">
      <c r="B123" s="29" t="s">
        <v>55</v>
      </c>
      <c r="C123" s="30"/>
      <c r="D123" s="30"/>
      <c r="E123" s="30"/>
      <c r="F123" s="30"/>
      <c r="G123" s="30"/>
      <c r="H123" s="30"/>
      <c r="I123" s="31"/>
      <c r="J123" s="35"/>
      <c r="K123" s="36"/>
    </row>
    <row r="124" spans="2:11" x14ac:dyDescent="0.25">
      <c r="B124" s="32"/>
      <c r="C124" s="33"/>
      <c r="D124" s="33"/>
      <c r="E124" s="33"/>
      <c r="F124" s="33"/>
      <c r="G124" s="33"/>
      <c r="H124" s="33"/>
      <c r="I124" s="34"/>
      <c r="J124" s="37"/>
      <c r="K124" s="38"/>
    </row>
    <row r="125" spans="2:11" x14ac:dyDescent="0.25">
      <c r="B125" s="29" t="s">
        <v>56</v>
      </c>
      <c r="C125" s="30"/>
      <c r="D125" s="30"/>
      <c r="E125" s="30"/>
      <c r="F125" s="30"/>
      <c r="G125" s="30"/>
      <c r="H125" s="30"/>
      <c r="I125" s="31"/>
      <c r="J125" s="35"/>
      <c r="K125" s="36"/>
    </row>
    <row r="126" spans="2:11" x14ac:dyDescent="0.25">
      <c r="B126" s="32"/>
      <c r="C126" s="33"/>
      <c r="D126" s="33"/>
      <c r="E126" s="33"/>
      <c r="F126" s="33"/>
      <c r="G126" s="33"/>
      <c r="H126" s="33"/>
      <c r="I126" s="34"/>
      <c r="J126" s="37"/>
      <c r="K126" s="38"/>
    </row>
    <row r="127" spans="2:11" x14ac:dyDescent="0.25">
      <c r="B127" s="29" t="s">
        <v>57</v>
      </c>
      <c r="C127" s="30"/>
      <c r="D127" s="30"/>
      <c r="E127" s="30"/>
      <c r="F127" s="30"/>
      <c r="G127" s="30"/>
      <c r="H127" s="30"/>
      <c r="I127" s="31"/>
      <c r="J127" s="35"/>
      <c r="K127" s="36"/>
    </row>
    <row r="128" spans="2:11" x14ac:dyDescent="0.25">
      <c r="B128" s="32"/>
      <c r="C128" s="33"/>
      <c r="D128" s="33"/>
      <c r="E128" s="33"/>
      <c r="F128" s="33"/>
      <c r="G128" s="33"/>
      <c r="H128" s="33"/>
      <c r="I128" s="34"/>
      <c r="J128" s="37"/>
      <c r="K128" s="38"/>
    </row>
    <row r="129" spans="2:11" x14ac:dyDescent="0.25">
      <c r="B129" s="29" t="s">
        <v>58</v>
      </c>
      <c r="C129" s="30"/>
      <c r="D129" s="30"/>
      <c r="E129" s="30"/>
      <c r="F129" s="30"/>
      <c r="G129" s="30"/>
      <c r="H129" s="30"/>
      <c r="I129" s="31"/>
      <c r="J129" s="35"/>
      <c r="K129" s="36"/>
    </row>
    <row r="130" spans="2:11" x14ac:dyDescent="0.25">
      <c r="B130" s="32"/>
      <c r="C130" s="33"/>
      <c r="D130" s="33"/>
      <c r="E130" s="33"/>
      <c r="F130" s="33"/>
      <c r="G130" s="33"/>
      <c r="H130" s="33"/>
      <c r="I130" s="34"/>
      <c r="J130" s="37"/>
      <c r="K130" s="38"/>
    </row>
    <row r="131" spans="2:11" x14ac:dyDescent="0.25">
      <c r="B131" s="29" t="s">
        <v>59</v>
      </c>
      <c r="C131" s="30"/>
      <c r="D131" s="30"/>
      <c r="E131" s="30"/>
      <c r="F131" s="30"/>
      <c r="G131" s="30"/>
      <c r="H131" s="30"/>
      <c r="I131" s="31"/>
      <c r="J131" s="35"/>
      <c r="K131" s="36"/>
    </row>
    <row r="132" spans="2:11" x14ac:dyDescent="0.25">
      <c r="B132" s="32"/>
      <c r="C132" s="33"/>
      <c r="D132" s="33"/>
      <c r="E132" s="33"/>
      <c r="F132" s="33"/>
      <c r="G132" s="33"/>
      <c r="H132" s="33"/>
      <c r="I132" s="34"/>
      <c r="J132" s="37"/>
      <c r="K132" s="38"/>
    </row>
    <row r="133" spans="2:11" x14ac:dyDescent="0.25">
      <c r="B133" s="29" t="s">
        <v>60</v>
      </c>
      <c r="C133" s="30"/>
      <c r="D133" s="30"/>
      <c r="E133" s="30"/>
      <c r="F133" s="30"/>
      <c r="G133" s="30"/>
      <c r="H133" s="30"/>
      <c r="I133" s="31"/>
      <c r="J133" s="35"/>
      <c r="K133" s="36"/>
    </row>
    <row r="134" spans="2:11" x14ac:dyDescent="0.25">
      <c r="B134" s="32"/>
      <c r="C134" s="33"/>
      <c r="D134" s="33"/>
      <c r="E134" s="33"/>
      <c r="F134" s="33"/>
      <c r="G134" s="33"/>
      <c r="H134" s="33"/>
      <c r="I134" s="34"/>
      <c r="J134" s="37"/>
      <c r="K134" s="38"/>
    </row>
    <row r="135" spans="2:11" x14ac:dyDescent="0.25">
      <c r="B135" s="29" t="s">
        <v>61</v>
      </c>
      <c r="C135" s="30"/>
      <c r="D135" s="30"/>
      <c r="E135" s="30"/>
      <c r="F135" s="30"/>
      <c r="G135" s="30"/>
      <c r="H135" s="30"/>
      <c r="I135" s="31"/>
      <c r="J135" s="35"/>
      <c r="K135" s="36"/>
    </row>
    <row r="136" spans="2:11" x14ac:dyDescent="0.25">
      <c r="B136" s="32"/>
      <c r="C136" s="33"/>
      <c r="D136" s="33"/>
      <c r="E136" s="33"/>
      <c r="F136" s="33"/>
      <c r="G136" s="33"/>
      <c r="H136" s="33"/>
      <c r="I136" s="34"/>
      <c r="J136" s="37"/>
      <c r="K136" s="38"/>
    </row>
    <row r="137" spans="2:11" x14ac:dyDescent="0.25">
      <c r="B137" s="29" t="s">
        <v>62</v>
      </c>
      <c r="C137" s="30"/>
      <c r="D137" s="30"/>
      <c r="E137" s="30"/>
      <c r="F137" s="30"/>
      <c r="G137" s="30"/>
      <c r="H137" s="30"/>
      <c r="I137" s="31"/>
      <c r="J137" s="35"/>
      <c r="K137" s="36"/>
    </row>
    <row r="138" spans="2:11" x14ac:dyDescent="0.25">
      <c r="B138" s="32"/>
      <c r="C138" s="33"/>
      <c r="D138" s="33"/>
      <c r="E138" s="33"/>
      <c r="F138" s="33"/>
      <c r="G138" s="33"/>
      <c r="H138" s="33"/>
      <c r="I138" s="34"/>
      <c r="J138" s="37"/>
      <c r="K138" s="38"/>
    </row>
    <row r="139" spans="2:11" x14ac:dyDescent="0.25">
      <c r="B139" s="29" t="s">
        <v>63</v>
      </c>
      <c r="C139" s="30"/>
      <c r="D139" s="30"/>
      <c r="E139" s="30"/>
      <c r="F139" s="30"/>
      <c r="G139" s="30"/>
      <c r="H139" s="30"/>
      <c r="I139" s="31"/>
      <c r="J139" s="35"/>
      <c r="K139" s="36"/>
    </row>
    <row r="140" spans="2:11" x14ac:dyDescent="0.25">
      <c r="B140" s="32"/>
      <c r="C140" s="33"/>
      <c r="D140" s="33"/>
      <c r="E140" s="33"/>
      <c r="F140" s="33"/>
      <c r="G140" s="33"/>
      <c r="H140" s="33"/>
      <c r="I140" s="34"/>
      <c r="J140" s="37"/>
      <c r="K140" s="38"/>
    </row>
    <row r="141" spans="2:11" x14ac:dyDescent="0.25">
      <c r="B141" s="29" t="s">
        <v>64</v>
      </c>
      <c r="C141" s="30"/>
      <c r="D141" s="30"/>
      <c r="E141" s="30"/>
      <c r="F141" s="30"/>
      <c r="G141" s="30"/>
      <c r="H141" s="30"/>
      <c r="I141" s="31"/>
      <c r="J141" s="35"/>
      <c r="K141" s="36"/>
    </row>
    <row r="142" spans="2:11" x14ac:dyDescent="0.25">
      <c r="B142" s="32"/>
      <c r="C142" s="33"/>
      <c r="D142" s="33"/>
      <c r="E142" s="33"/>
      <c r="F142" s="33"/>
      <c r="G142" s="33"/>
      <c r="H142" s="33"/>
      <c r="I142" s="34"/>
      <c r="J142" s="37"/>
      <c r="K142" s="38"/>
    </row>
    <row r="143" spans="2:11" x14ac:dyDescent="0.25">
      <c r="B143" s="29" t="s">
        <v>115</v>
      </c>
      <c r="C143" s="30"/>
      <c r="D143" s="30"/>
      <c r="E143" s="30"/>
      <c r="F143" s="30"/>
      <c r="G143" s="30"/>
      <c r="H143" s="30"/>
      <c r="I143" s="31"/>
      <c r="J143" s="35"/>
      <c r="K143" s="36"/>
    </row>
    <row r="144" spans="2:11" x14ac:dyDescent="0.25">
      <c r="B144" s="32"/>
      <c r="C144" s="33"/>
      <c r="D144" s="33"/>
      <c r="E144" s="33"/>
      <c r="F144" s="33"/>
      <c r="G144" s="33"/>
      <c r="H144" s="33"/>
      <c r="I144" s="34"/>
      <c r="J144" s="37"/>
      <c r="K144" s="38"/>
    </row>
    <row r="145" spans="2:11" x14ac:dyDescent="0.25">
      <c r="B145" s="29" t="s">
        <v>71</v>
      </c>
      <c r="C145" s="30"/>
      <c r="D145" s="30"/>
      <c r="E145" s="30"/>
      <c r="F145" s="30"/>
      <c r="G145" s="30"/>
      <c r="H145" s="30"/>
      <c r="I145" s="31"/>
      <c r="J145" s="35"/>
      <c r="K145" s="36"/>
    </row>
    <row r="146" spans="2:11" x14ac:dyDescent="0.25">
      <c r="B146" s="32"/>
      <c r="C146" s="33"/>
      <c r="D146" s="33"/>
      <c r="E146" s="33"/>
      <c r="F146" s="33"/>
      <c r="G146" s="33"/>
      <c r="H146" s="33"/>
      <c r="I146" s="34"/>
      <c r="J146" s="37"/>
      <c r="K146" s="38"/>
    </row>
    <row r="147" spans="2:11" x14ac:dyDescent="0.25">
      <c r="B147" s="29" t="s">
        <v>65</v>
      </c>
      <c r="C147" s="30"/>
      <c r="D147" s="30"/>
      <c r="E147" s="30"/>
      <c r="F147" s="30"/>
      <c r="G147" s="30"/>
      <c r="H147" s="30"/>
      <c r="I147" s="31"/>
      <c r="J147" s="35"/>
      <c r="K147" s="36"/>
    </row>
    <row r="148" spans="2:11" x14ac:dyDescent="0.25">
      <c r="B148" s="32"/>
      <c r="C148" s="33"/>
      <c r="D148" s="33"/>
      <c r="E148" s="33"/>
      <c r="F148" s="33"/>
      <c r="G148" s="33"/>
      <c r="H148" s="33"/>
      <c r="I148" s="34"/>
      <c r="J148" s="37"/>
      <c r="K148" s="38"/>
    </row>
    <row r="149" spans="2:11" x14ac:dyDescent="0.25">
      <c r="B149" s="29" t="s">
        <v>66</v>
      </c>
      <c r="C149" s="30"/>
      <c r="D149" s="30"/>
      <c r="E149" s="30"/>
      <c r="F149" s="30"/>
      <c r="G149" s="30"/>
      <c r="H149" s="30"/>
      <c r="I149" s="31"/>
      <c r="J149" s="35"/>
      <c r="K149" s="36"/>
    </row>
    <row r="150" spans="2:11" x14ac:dyDescent="0.25">
      <c r="B150" s="32"/>
      <c r="C150" s="33"/>
      <c r="D150" s="33"/>
      <c r="E150" s="33"/>
      <c r="F150" s="33"/>
      <c r="G150" s="33"/>
      <c r="H150" s="33"/>
      <c r="I150" s="34"/>
      <c r="J150" s="37"/>
      <c r="K150" s="38"/>
    </row>
    <row r="151" spans="2:11" x14ac:dyDescent="0.25">
      <c r="B151" s="29" t="s">
        <v>67</v>
      </c>
      <c r="C151" s="30"/>
      <c r="D151" s="30"/>
      <c r="E151" s="30"/>
      <c r="F151" s="30"/>
      <c r="G151" s="30"/>
      <c r="H151" s="30"/>
      <c r="I151" s="31"/>
      <c r="J151" s="35"/>
      <c r="K151" s="36"/>
    </row>
    <row r="152" spans="2:11" x14ac:dyDescent="0.25">
      <c r="B152" s="32"/>
      <c r="C152" s="33"/>
      <c r="D152" s="33"/>
      <c r="E152" s="33"/>
      <c r="F152" s="33"/>
      <c r="G152" s="33"/>
      <c r="H152" s="33"/>
      <c r="I152" s="34"/>
      <c r="J152" s="37"/>
      <c r="K152" s="38"/>
    </row>
    <row r="153" spans="2:11" x14ac:dyDescent="0.25">
      <c r="B153" s="29" t="s">
        <v>68</v>
      </c>
      <c r="C153" s="30"/>
      <c r="D153" s="30"/>
      <c r="E153" s="30"/>
      <c r="F153" s="30"/>
      <c r="G153" s="30"/>
      <c r="H153" s="30"/>
      <c r="I153" s="31"/>
      <c r="J153" s="35"/>
      <c r="K153" s="36"/>
    </row>
    <row r="154" spans="2:11" x14ac:dyDescent="0.25">
      <c r="B154" s="32"/>
      <c r="C154" s="33"/>
      <c r="D154" s="33"/>
      <c r="E154" s="33"/>
      <c r="F154" s="33"/>
      <c r="G154" s="33"/>
      <c r="H154" s="33"/>
      <c r="I154" s="34"/>
      <c r="J154" s="37"/>
      <c r="K154" s="38"/>
    </row>
    <row r="155" spans="2:11" x14ac:dyDescent="0.25">
      <c r="B155" s="29" t="s">
        <v>69</v>
      </c>
      <c r="C155" s="30"/>
      <c r="D155" s="30"/>
      <c r="E155" s="30"/>
      <c r="F155" s="30"/>
      <c r="G155" s="30"/>
      <c r="H155" s="30"/>
      <c r="I155" s="31"/>
      <c r="J155" s="35"/>
      <c r="K155" s="36"/>
    </row>
    <row r="156" spans="2:11" x14ac:dyDescent="0.25">
      <c r="B156" s="32"/>
      <c r="C156" s="33"/>
      <c r="D156" s="33"/>
      <c r="E156" s="33"/>
      <c r="F156" s="33"/>
      <c r="G156" s="33"/>
      <c r="H156" s="33"/>
      <c r="I156" s="34"/>
      <c r="J156" s="37"/>
      <c r="K156" s="38"/>
    </row>
    <row r="157" spans="2:11" x14ac:dyDescent="0.25">
      <c r="B157" s="29" t="s">
        <v>70</v>
      </c>
      <c r="C157" s="30"/>
      <c r="D157" s="30"/>
      <c r="E157" s="30"/>
      <c r="F157" s="30"/>
      <c r="G157" s="30"/>
      <c r="H157" s="30"/>
      <c r="I157" s="31"/>
      <c r="J157" s="35"/>
      <c r="K157" s="36"/>
    </row>
    <row r="158" spans="2:11" x14ac:dyDescent="0.25">
      <c r="B158" s="32"/>
      <c r="C158" s="33"/>
      <c r="D158" s="33"/>
      <c r="E158" s="33"/>
      <c r="F158" s="33"/>
      <c r="G158" s="33"/>
      <c r="H158" s="33"/>
      <c r="I158" s="34"/>
      <c r="J158" s="37"/>
      <c r="K158" s="38"/>
    </row>
  </sheetData>
  <sheetProtection selectLockedCells="1"/>
  <mergeCells count="139">
    <mergeCell ref="B155:I156"/>
    <mergeCell ref="J155:K156"/>
    <mergeCell ref="B157:I158"/>
    <mergeCell ref="J157:K158"/>
    <mergeCell ref="J43:K43"/>
    <mergeCell ref="B149:I150"/>
    <mergeCell ref="J149:K150"/>
    <mergeCell ref="B151:I152"/>
    <mergeCell ref="J151:K152"/>
    <mergeCell ref="B153:I154"/>
    <mergeCell ref="J153:K154"/>
    <mergeCell ref="B143:I144"/>
    <mergeCell ref="J143:K144"/>
    <mergeCell ref="B145:I146"/>
    <mergeCell ref="J145:K146"/>
    <mergeCell ref="B147:I148"/>
    <mergeCell ref="J147:K148"/>
    <mergeCell ref="B137:I138"/>
    <mergeCell ref="J137:K138"/>
    <mergeCell ref="B139:I140"/>
    <mergeCell ref="J139:K140"/>
    <mergeCell ref="B141:I142"/>
    <mergeCell ref="J141:K142"/>
    <mergeCell ref="B131:I132"/>
    <mergeCell ref="J131:K132"/>
    <mergeCell ref="B133:I134"/>
    <mergeCell ref="J133:K134"/>
    <mergeCell ref="B135:I136"/>
    <mergeCell ref="J135:K136"/>
    <mergeCell ref="B125:I126"/>
    <mergeCell ref="J125:K126"/>
    <mergeCell ref="B127:I128"/>
    <mergeCell ref="J127:K128"/>
    <mergeCell ref="B129:I130"/>
    <mergeCell ref="J129:K130"/>
    <mergeCell ref="B119:I120"/>
    <mergeCell ref="J119:K120"/>
    <mergeCell ref="B121:I122"/>
    <mergeCell ref="J121:K122"/>
    <mergeCell ref="B123:I124"/>
    <mergeCell ref="J123:K124"/>
    <mergeCell ref="B113:I114"/>
    <mergeCell ref="J113:K114"/>
    <mergeCell ref="B115:I116"/>
    <mergeCell ref="J115:K116"/>
    <mergeCell ref="B117:I118"/>
    <mergeCell ref="J117:K118"/>
    <mergeCell ref="B107:I108"/>
    <mergeCell ref="J107:K108"/>
    <mergeCell ref="B109:I110"/>
    <mergeCell ref="J109:K110"/>
    <mergeCell ref="B111:I112"/>
    <mergeCell ref="J111:K112"/>
    <mergeCell ref="B101:I102"/>
    <mergeCell ref="J101:K102"/>
    <mergeCell ref="B103:I104"/>
    <mergeCell ref="J103:K104"/>
    <mergeCell ref="B105:I106"/>
    <mergeCell ref="J105:K106"/>
    <mergeCell ref="B94:I95"/>
    <mergeCell ref="J94:K95"/>
    <mergeCell ref="B96:I97"/>
    <mergeCell ref="J96:K97"/>
    <mergeCell ref="B98:I99"/>
    <mergeCell ref="J98:K99"/>
    <mergeCell ref="B88:I89"/>
    <mergeCell ref="J88:K89"/>
    <mergeCell ref="B90:I91"/>
    <mergeCell ref="J90:K91"/>
    <mergeCell ref="B92:I93"/>
    <mergeCell ref="J92:K93"/>
    <mergeCell ref="B82:I83"/>
    <mergeCell ref="J82:K83"/>
    <mergeCell ref="B84:I85"/>
    <mergeCell ref="J84:K85"/>
    <mergeCell ref="B86:I87"/>
    <mergeCell ref="J86:K87"/>
    <mergeCell ref="B76:I77"/>
    <mergeCell ref="J76:K77"/>
    <mergeCell ref="B78:I79"/>
    <mergeCell ref="J78:K79"/>
    <mergeCell ref="B80:I81"/>
    <mergeCell ref="J80:K81"/>
    <mergeCell ref="B70:I71"/>
    <mergeCell ref="J70:K71"/>
    <mergeCell ref="B72:I73"/>
    <mergeCell ref="J72:K73"/>
    <mergeCell ref="B74:I75"/>
    <mergeCell ref="J74:K75"/>
    <mergeCell ref="B64:I65"/>
    <mergeCell ref="J64:K65"/>
    <mergeCell ref="B66:I67"/>
    <mergeCell ref="J66:K67"/>
    <mergeCell ref="B68:I69"/>
    <mergeCell ref="J68:K69"/>
    <mergeCell ref="B58:I59"/>
    <mergeCell ref="J58:K59"/>
    <mergeCell ref="B60:I61"/>
    <mergeCell ref="J60:K61"/>
    <mergeCell ref="B62:I63"/>
    <mergeCell ref="J62:K63"/>
    <mergeCell ref="B52:I53"/>
    <mergeCell ref="J52:K53"/>
    <mergeCell ref="B54:I55"/>
    <mergeCell ref="J54:K55"/>
    <mergeCell ref="B56:I57"/>
    <mergeCell ref="J56:K57"/>
    <mergeCell ref="B46:I47"/>
    <mergeCell ref="J46:K47"/>
    <mergeCell ref="B48:I49"/>
    <mergeCell ref="J48:K49"/>
    <mergeCell ref="B50:I51"/>
    <mergeCell ref="J50:K51"/>
    <mergeCell ref="B30:I31"/>
    <mergeCell ref="J30:K31"/>
    <mergeCell ref="B32:K33"/>
    <mergeCell ref="C35:I36"/>
    <mergeCell ref="B44:I45"/>
    <mergeCell ref="J44:K45"/>
    <mergeCell ref="B24:I25"/>
    <mergeCell ref="J24:K25"/>
    <mergeCell ref="J21:K21"/>
    <mergeCell ref="B26:I27"/>
    <mergeCell ref="J26:K27"/>
    <mergeCell ref="B28:I29"/>
    <mergeCell ref="J28:K29"/>
    <mergeCell ref="B15:I16"/>
    <mergeCell ref="J15:K16"/>
    <mergeCell ref="J10:K10"/>
    <mergeCell ref="B18:J20"/>
    <mergeCell ref="B22:I23"/>
    <mergeCell ref="J22:K23"/>
    <mergeCell ref="C2:I2"/>
    <mergeCell ref="C3:I4"/>
    <mergeCell ref="B6:J9"/>
    <mergeCell ref="B11:I12"/>
    <mergeCell ref="J11:K12"/>
    <mergeCell ref="B13:I14"/>
    <mergeCell ref="J13:K14"/>
  </mergeCells>
  <pageMargins left="0.7" right="0.7" top="0.75" bottom="0.75" header="0.3" footer="0.3"/>
  <pageSetup paperSize="9" scale="31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14</xdr:col>
                <xdr:colOff>0</xdr:colOff>
                <xdr:row>46</xdr:row>
                <xdr:rowOff>57150</xdr:rowOff>
              </from>
              <to>
                <xdr:col>16</xdr:col>
                <xdr:colOff>762000</xdr:colOff>
                <xdr:row>50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K12"/>
  <sheetViews>
    <sheetView tabSelected="1" workbookViewId="0">
      <selection sqref="A1:XFD1048576"/>
    </sheetView>
  </sheetViews>
  <sheetFormatPr defaultRowHeight="15" x14ac:dyDescent="0.25"/>
  <sheetData>
    <row r="2" spans="2:11" x14ac:dyDescent="0.25">
      <c r="B2" s="1"/>
      <c r="C2" s="1"/>
      <c r="D2" s="1"/>
      <c r="E2" s="1"/>
      <c r="F2" s="1"/>
      <c r="G2" s="1"/>
      <c r="H2" s="1"/>
      <c r="I2" s="1"/>
      <c r="J2" s="18" t="s">
        <v>3</v>
      </c>
      <c r="K2" s="19"/>
    </row>
    <row r="3" spans="2:11" x14ac:dyDescent="0.25">
      <c r="B3" s="29" t="s">
        <v>10</v>
      </c>
      <c r="C3" s="30"/>
      <c r="D3" s="30"/>
      <c r="E3" s="30"/>
      <c r="F3" s="30"/>
      <c r="G3" s="30"/>
      <c r="H3" s="30"/>
      <c r="I3" s="31"/>
      <c r="J3" s="57">
        <v>3</v>
      </c>
      <c r="K3" s="58"/>
    </row>
    <row r="4" spans="2:11" x14ac:dyDescent="0.25">
      <c r="B4" s="32"/>
      <c r="C4" s="33"/>
      <c r="D4" s="33"/>
      <c r="E4" s="33"/>
      <c r="F4" s="33"/>
      <c r="G4" s="33"/>
      <c r="H4" s="33"/>
      <c r="I4" s="34"/>
      <c r="J4" s="59"/>
      <c r="K4" s="60"/>
    </row>
    <row r="5" spans="2:11" x14ac:dyDescent="0.25">
      <c r="B5" s="29" t="s">
        <v>11</v>
      </c>
      <c r="C5" s="30"/>
      <c r="D5" s="30"/>
      <c r="E5" s="30"/>
      <c r="F5" s="30"/>
      <c r="G5" s="30"/>
      <c r="H5" s="30"/>
      <c r="I5" s="31"/>
      <c r="J5" s="57" t="s">
        <v>116</v>
      </c>
      <c r="K5" s="58"/>
    </row>
    <row r="6" spans="2:11" x14ac:dyDescent="0.25">
      <c r="B6" s="32"/>
      <c r="C6" s="33"/>
      <c r="D6" s="33"/>
      <c r="E6" s="33"/>
      <c r="F6" s="33"/>
      <c r="G6" s="33"/>
      <c r="H6" s="33"/>
      <c r="I6" s="34"/>
      <c r="J6" s="59"/>
      <c r="K6" s="60"/>
    </row>
    <row r="7" spans="2:11" x14ac:dyDescent="0.25">
      <c r="B7" s="29" t="s">
        <v>12</v>
      </c>
      <c r="C7" s="30"/>
      <c r="D7" s="30"/>
      <c r="E7" s="30"/>
      <c r="F7" s="30"/>
      <c r="G7" s="30"/>
      <c r="H7" s="30"/>
      <c r="I7" s="31"/>
      <c r="J7" s="57" t="s">
        <v>117</v>
      </c>
      <c r="K7" s="58"/>
    </row>
    <row r="8" spans="2:11" x14ac:dyDescent="0.25">
      <c r="B8" s="32"/>
      <c r="C8" s="33"/>
      <c r="D8" s="33"/>
      <c r="E8" s="33"/>
      <c r="F8" s="33"/>
      <c r="G8" s="33"/>
      <c r="H8" s="33"/>
      <c r="I8" s="34"/>
      <c r="J8" s="59"/>
      <c r="K8" s="60"/>
    </row>
    <row r="9" spans="2:11" x14ac:dyDescent="0.25">
      <c r="B9" s="29" t="s">
        <v>13</v>
      </c>
      <c r="C9" s="30"/>
      <c r="D9" s="30"/>
      <c r="E9" s="30"/>
      <c r="F9" s="30"/>
      <c r="G9" s="30"/>
      <c r="H9" s="30"/>
      <c r="I9" s="31"/>
      <c r="J9" s="57" t="s">
        <v>76</v>
      </c>
      <c r="K9" s="58"/>
    </row>
    <row r="10" spans="2:11" x14ac:dyDescent="0.25">
      <c r="B10" s="32"/>
      <c r="C10" s="33"/>
      <c r="D10" s="33"/>
      <c r="E10" s="33"/>
      <c r="F10" s="33"/>
      <c r="G10" s="33"/>
      <c r="H10" s="33"/>
      <c r="I10" s="34"/>
      <c r="J10" s="59"/>
      <c r="K10" s="60"/>
    </row>
    <row r="11" spans="2:11" x14ac:dyDescent="0.25">
      <c r="B11" s="29" t="s">
        <v>14</v>
      </c>
      <c r="C11" s="30"/>
      <c r="D11" s="30"/>
      <c r="E11" s="30"/>
      <c r="F11" s="30"/>
      <c r="G11" s="30"/>
      <c r="H11" s="30"/>
      <c r="I11" s="31"/>
      <c r="J11" s="57" t="s">
        <v>118</v>
      </c>
      <c r="K11" s="58"/>
    </row>
    <row r="12" spans="2:11" x14ac:dyDescent="0.25">
      <c r="B12" s="32"/>
      <c r="C12" s="33"/>
      <c r="D12" s="33"/>
      <c r="E12" s="33"/>
      <c r="F12" s="33"/>
      <c r="G12" s="33"/>
      <c r="H12" s="33"/>
      <c r="I12" s="34"/>
      <c r="J12" s="59"/>
      <c r="K12" s="60"/>
    </row>
  </sheetData>
  <sheetProtection algorithmName="SHA-512" hashValue="UqitDtUW/9P9fHqVELgVY43B7qIUU0ulb/JtHqod+GNfcL70EgbOGvZtcCQc7GsjeG5enkUNF+/7q40HsFoVlA==" saltValue="BI8ZxqWv7+auoOfKXm1+mg==" spinCount="100000" sheet="1" objects="1" scenarios="1" selectLockedCells="1" selectUnlockedCells="1"/>
  <mergeCells count="11">
    <mergeCell ref="B9:I10"/>
    <mergeCell ref="J9:K10"/>
    <mergeCell ref="B11:I12"/>
    <mergeCell ref="J11:K12"/>
    <mergeCell ref="J2:K2"/>
    <mergeCell ref="B3:I4"/>
    <mergeCell ref="J3:K4"/>
    <mergeCell ref="B5:I6"/>
    <mergeCell ref="J5:K6"/>
    <mergeCell ref="B7:I8"/>
    <mergeCell ref="J7:K8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58"/>
  <sheetViews>
    <sheetView topLeftCell="D1" workbookViewId="0">
      <selection activeCell="F4" sqref="F4:G4"/>
    </sheetView>
  </sheetViews>
  <sheetFormatPr defaultRowHeight="15" x14ac:dyDescent="0.25"/>
  <cols>
    <col min="1" max="1" width="23" hidden="1" customWidth="1"/>
    <col min="2" max="2" width="16.140625" style="9" hidden="1" customWidth="1"/>
    <col min="3" max="3" width="15.5703125" hidden="1" customWidth="1"/>
    <col min="8" max="8" width="2.42578125" customWidth="1"/>
    <col min="11" max="11" width="2.5703125" customWidth="1"/>
  </cols>
  <sheetData>
    <row r="1" spans="1:14" x14ac:dyDescent="0.25">
      <c r="B1" s="9" t="s">
        <v>72</v>
      </c>
    </row>
    <row r="2" spans="1:14" x14ac:dyDescent="0.25">
      <c r="A2">
        <v>1</v>
      </c>
      <c r="B2" s="9" t="s">
        <v>73</v>
      </c>
      <c r="C2" t="str">
        <f>IF(Test!J44=Score!B2, "Correct", "Incorrect")</f>
        <v>Incorrect</v>
      </c>
    </row>
    <row r="3" spans="1:14" x14ac:dyDescent="0.25">
      <c r="A3">
        <v>2</v>
      </c>
      <c r="B3" s="9" t="s">
        <v>74</v>
      </c>
      <c r="C3" t="str">
        <f>IF(Test!J46=Score!B3, "Correct", "Incorrect")</f>
        <v>Incorrect</v>
      </c>
      <c r="E3" s="10" t="s">
        <v>119</v>
      </c>
      <c r="F3" s="63"/>
      <c r="G3" s="63"/>
      <c r="H3" s="63"/>
    </row>
    <row r="4" spans="1:14" x14ac:dyDescent="0.25">
      <c r="A4">
        <v>3</v>
      </c>
      <c r="B4" s="9" t="s">
        <v>75</v>
      </c>
      <c r="C4" t="str">
        <f>IF(Test!J48=Score!B4, "Correct", "Incorrect")</f>
        <v>Incorrect</v>
      </c>
      <c r="E4" s="10" t="s">
        <v>120</v>
      </c>
      <c r="F4" s="84"/>
      <c r="G4" s="63"/>
    </row>
    <row r="5" spans="1:14" x14ac:dyDescent="0.25">
      <c r="A5">
        <v>4</v>
      </c>
      <c r="B5" s="8">
        <v>15</v>
      </c>
      <c r="C5" t="str">
        <f>IF(Test!J50=Score!B5, "Correct", "Incorrect")</f>
        <v>Incorrect</v>
      </c>
    </row>
    <row r="6" spans="1:14" ht="15" customHeight="1" x14ac:dyDescent="0.25">
      <c r="A6">
        <v>5</v>
      </c>
      <c r="B6" s="9" t="s">
        <v>76</v>
      </c>
      <c r="C6" t="str">
        <f>IF(Test!J52=Score!B6, "Correct", "Incorrect")</f>
        <v>Incorrect</v>
      </c>
      <c r="G6" s="13"/>
      <c r="H6" s="64" t="s">
        <v>122</v>
      </c>
      <c r="I6" s="64"/>
      <c r="J6" s="64"/>
      <c r="K6" s="64"/>
    </row>
    <row r="7" spans="1:14" ht="15" customHeight="1" x14ac:dyDescent="0.25">
      <c r="A7">
        <v>6</v>
      </c>
      <c r="B7" s="9" t="s">
        <v>77</v>
      </c>
      <c r="C7" t="str">
        <f>IF(Test!J54=Score!B7, "Correct", "Incorrect")</f>
        <v>Incorrect</v>
      </c>
      <c r="G7" s="12"/>
      <c r="H7" s="83" t="s">
        <v>121</v>
      </c>
      <c r="I7" s="83"/>
      <c r="J7" s="83"/>
      <c r="K7" s="83"/>
    </row>
    <row r="8" spans="1:14" ht="15" customHeight="1" x14ac:dyDescent="0.25">
      <c r="A8">
        <v>7</v>
      </c>
      <c r="B8" s="9">
        <v>32</v>
      </c>
      <c r="C8" t="str">
        <f>IF(Test!J56=Score!B8, "Correct", "Incorrect")</f>
        <v>Incorrect</v>
      </c>
      <c r="G8" s="12"/>
      <c r="H8" s="83"/>
      <c r="I8" s="83"/>
      <c r="J8" s="83"/>
      <c r="K8" s="83"/>
    </row>
    <row r="9" spans="1:14" ht="15" customHeight="1" x14ac:dyDescent="0.25">
      <c r="A9">
        <v>8</v>
      </c>
      <c r="B9" s="9" t="s">
        <v>78</v>
      </c>
      <c r="C9" t="str">
        <f>IF(Test!J58=Score!B9, "Correct", "Incorrect")</f>
        <v>Incorrect</v>
      </c>
      <c r="G9" s="11"/>
      <c r="H9" s="11"/>
      <c r="I9" s="11"/>
      <c r="J9" s="11"/>
      <c r="K9" s="11"/>
    </row>
    <row r="10" spans="1:14" ht="20.25" customHeight="1" x14ac:dyDescent="0.35">
      <c r="A10">
        <v>9</v>
      </c>
      <c r="B10" s="9" t="s">
        <v>79</v>
      </c>
      <c r="C10" t="str">
        <f>IF(Test!J60=Score!B10, "Correct", "Incorrect")</f>
        <v>Incorrect</v>
      </c>
      <c r="F10" s="67" t="s">
        <v>123</v>
      </c>
      <c r="G10" s="67"/>
      <c r="I10" s="66" t="s">
        <v>124</v>
      </c>
      <c r="J10" s="66"/>
      <c r="L10" s="65" t="s">
        <v>125</v>
      </c>
      <c r="M10" s="65"/>
      <c r="N10" s="65"/>
    </row>
    <row r="11" spans="1:14" ht="15" customHeight="1" x14ac:dyDescent="0.25">
      <c r="A11">
        <v>10</v>
      </c>
      <c r="B11" s="9" t="s">
        <v>80</v>
      </c>
      <c r="C11" t="str">
        <f>IF(Test!J62=Score!B11, "Correct", "Incorrect")</f>
        <v>Incorrect</v>
      </c>
      <c r="F11" s="80">
        <f>COUNTIF(C2:C58, "Correct")</f>
        <v>0</v>
      </c>
      <c r="G11" s="69" t="s">
        <v>128</v>
      </c>
      <c r="H11" t="s">
        <v>126</v>
      </c>
      <c r="I11" s="74">
        <f>F11/57</f>
        <v>0</v>
      </c>
      <c r="J11" s="75"/>
      <c r="K11" t="s">
        <v>126</v>
      </c>
      <c r="L11" s="68" t="str">
        <f>IF(F11&lt;=35,"FAILED","PASSED")</f>
        <v>FAILED</v>
      </c>
      <c r="M11" s="69"/>
      <c r="N11" s="14"/>
    </row>
    <row r="12" spans="1:14" ht="15" customHeight="1" x14ac:dyDescent="0.25">
      <c r="A12">
        <v>11</v>
      </c>
      <c r="B12" s="9" t="s">
        <v>81</v>
      </c>
      <c r="C12" t="str">
        <f>IF(Test!J64=Score!B12, "Correct", "Incorrect")</f>
        <v>Incorrect</v>
      </c>
      <c r="F12" s="81"/>
      <c r="G12" s="71"/>
      <c r="H12" t="s">
        <v>126</v>
      </c>
      <c r="I12" s="76"/>
      <c r="J12" s="77"/>
      <c r="K12" t="s">
        <v>126</v>
      </c>
      <c r="L12" s="70"/>
      <c r="M12" s="71"/>
    </row>
    <row r="13" spans="1:14" ht="15" customHeight="1" x14ac:dyDescent="0.25">
      <c r="A13">
        <v>12</v>
      </c>
      <c r="B13" s="9" t="s">
        <v>82</v>
      </c>
      <c r="C13" t="str">
        <f>IF(Test!J66=Score!B13, "Correct", "Incorrect")</f>
        <v>Incorrect</v>
      </c>
      <c r="F13" s="82"/>
      <c r="G13" s="73"/>
      <c r="H13" t="s">
        <v>126</v>
      </c>
      <c r="I13" s="78"/>
      <c r="J13" s="79"/>
      <c r="K13" t="s">
        <v>126</v>
      </c>
      <c r="L13" s="72"/>
      <c r="M13" s="73"/>
    </row>
    <row r="14" spans="1:14" x14ac:dyDescent="0.25">
      <c r="A14">
        <v>13</v>
      </c>
      <c r="B14" s="9" t="s">
        <v>83</v>
      </c>
      <c r="C14" t="str">
        <f>IF(Test!J68=Score!B14, "Correct", "Incorrect")</f>
        <v>Incorrect</v>
      </c>
    </row>
    <row r="15" spans="1:14" x14ac:dyDescent="0.25">
      <c r="A15">
        <v>14</v>
      </c>
      <c r="B15" s="9" t="s">
        <v>84</v>
      </c>
      <c r="C15" t="str">
        <f>IF(Test!J70=Score!B15, "Correct", "Incorrect")</f>
        <v>Incorrect</v>
      </c>
    </row>
    <row r="16" spans="1:14" x14ac:dyDescent="0.25">
      <c r="A16">
        <v>15</v>
      </c>
      <c r="B16" s="9" t="s">
        <v>85</v>
      </c>
      <c r="C16" t="str">
        <f>IF(Test!J72=Score!B16, "Correct", "Incorrect")</f>
        <v>Incorrect</v>
      </c>
    </row>
    <row r="17" spans="1:3" x14ac:dyDescent="0.25">
      <c r="A17">
        <v>16</v>
      </c>
      <c r="B17" s="9" t="s">
        <v>86</v>
      </c>
      <c r="C17" t="str">
        <f>IF(Test!J74=Score!B17, "Correct", "Incorrect")</f>
        <v>Incorrect</v>
      </c>
    </row>
    <row r="18" spans="1:3" x14ac:dyDescent="0.25">
      <c r="A18">
        <v>17</v>
      </c>
      <c r="B18" s="9" t="s">
        <v>87</v>
      </c>
      <c r="C18" t="str">
        <f>IF(Test!J76=Score!B18, "Correct", "Incorrect")</f>
        <v>Incorrect</v>
      </c>
    </row>
    <row r="19" spans="1:3" x14ac:dyDescent="0.25">
      <c r="A19">
        <v>18</v>
      </c>
      <c r="B19" s="9" t="s">
        <v>88</v>
      </c>
      <c r="C19" t="str">
        <f>IF(Test!J78=Score!B19, "Correct", "Incorrect")</f>
        <v>Incorrect</v>
      </c>
    </row>
    <row r="20" spans="1:3" x14ac:dyDescent="0.25">
      <c r="A20">
        <v>19</v>
      </c>
      <c r="B20" s="9">
        <v>19</v>
      </c>
      <c r="C20" t="str">
        <f>IF(Test!J80=Score!B20, "Correct", "Incorrect")</f>
        <v>Incorrect</v>
      </c>
    </row>
    <row r="21" spans="1:3" x14ac:dyDescent="0.25">
      <c r="A21">
        <v>20</v>
      </c>
      <c r="B21" s="9" t="s">
        <v>89</v>
      </c>
      <c r="C21" t="str">
        <f>IF(Test!J82=Score!B21, "Correct", "Incorrect")</f>
        <v>Incorrect</v>
      </c>
    </row>
    <row r="22" spans="1:3" x14ac:dyDescent="0.25">
      <c r="A22">
        <v>21</v>
      </c>
      <c r="B22" s="9" t="s">
        <v>90</v>
      </c>
      <c r="C22" t="str">
        <f>IF(OR(Test!J84="WD",Test!J84="W D"), "Correct", "Incorrect")</f>
        <v>Incorrect</v>
      </c>
    </row>
    <row r="23" spans="1:3" x14ac:dyDescent="0.25">
      <c r="A23">
        <v>22</v>
      </c>
      <c r="B23" s="9" t="s">
        <v>82</v>
      </c>
      <c r="C23" t="str">
        <f>IF(Test!J86=Score!B23, "Correct", "Incorrect")</f>
        <v>Incorrect</v>
      </c>
    </row>
    <row r="24" spans="1:3" x14ac:dyDescent="0.25">
      <c r="A24">
        <v>23</v>
      </c>
      <c r="B24" s="9" t="s">
        <v>91</v>
      </c>
      <c r="C24" t="str">
        <f>IF(Test!J88=Score!B24, "Correct", "Incorrect")</f>
        <v>Incorrect</v>
      </c>
    </row>
    <row r="25" spans="1:3" x14ac:dyDescent="0.25">
      <c r="A25">
        <v>24</v>
      </c>
      <c r="B25" s="9" t="s">
        <v>92</v>
      </c>
      <c r="C25" t="str">
        <f>IF(Test!J90=Score!B25, "Correct", "Incorrect")</f>
        <v>Incorrect</v>
      </c>
    </row>
    <row r="26" spans="1:3" x14ac:dyDescent="0.25">
      <c r="A26">
        <v>25</v>
      </c>
      <c r="B26" s="9" t="s">
        <v>93</v>
      </c>
      <c r="C26" t="str">
        <f>IF(Test!J92=Score!B26, "Correct", "Incorrect")</f>
        <v>Incorrect</v>
      </c>
    </row>
    <row r="27" spans="1:3" x14ac:dyDescent="0.25">
      <c r="A27">
        <v>26</v>
      </c>
      <c r="B27" s="9" t="s">
        <v>94</v>
      </c>
      <c r="C27" t="str">
        <f>IF(Test!J94=Score!B27, "Correct", "Incorrect")</f>
        <v>Incorrect</v>
      </c>
    </row>
    <row r="28" spans="1:3" x14ac:dyDescent="0.25">
      <c r="A28">
        <v>27</v>
      </c>
      <c r="B28" s="9">
        <v>8</v>
      </c>
      <c r="C28" t="str">
        <f>IF(Test!J96=Score!B28, "Correct", "Incorrect")</f>
        <v>Incorrect</v>
      </c>
    </row>
    <row r="29" spans="1:3" x14ac:dyDescent="0.25">
      <c r="A29">
        <v>28</v>
      </c>
      <c r="B29" s="9">
        <v>6217</v>
      </c>
      <c r="C29" t="str">
        <f>IF(Test!J98=Score!B29, "Correct", "Incorrect")</f>
        <v>Incorrect</v>
      </c>
    </row>
    <row r="30" spans="1:3" x14ac:dyDescent="0.25">
      <c r="A30">
        <v>29</v>
      </c>
      <c r="B30" s="9" t="s">
        <v>95</v>
      </c>
      <c r="C30" t="str">
        <f>IF(Test!J101=Score!B30, "Correct", "Incorrect")</f>
        <v>Incorrect</v>
      </c>
    </row>
    <row r="31" spans="1:3" x14ac:dyDescent="0.25">
      <c r="A31">
        <v>30</v>
      </c>
      <c r="B31" s="9" t="s">
        <v>96</v>
      </c>
      <c r="C31" t="str">
        <f>IF(Test!J103=Score!B31, "Correct", "Incorrect")</f>
        <v>Incorrect</v>
      </c>
    </row>
    <row r="32" spans="1:3" x14ac:dyDescent="0.25">
      <c r="A32">
        <v>31</v>
      </c>
      <c r="B32" s="9" t="s">
        <v>97</v>
      </c>
      <c r="C32" t="str">
        <f>IF(Test!J105=Score!B32, "Correct", "Incorrect")</f>
        <v>Incorrect</v>
      </c>
    </row>
    <row r="33" spans="1:3" x14ac:dyDescent="0.25">
      <c r="A33">
        <v>32</v>
      </c>
      <c r="B33" s="9">
        <v>246</v>
      </c>
      <c r="C33" t="str">
        <f>IF(Test!J107=Score!B33, "Correct", "Incorrect")</f>
        <v>Incorrect</v>
      </c>
    </row>
    <row r="34" spans="1:3" x14ac:dyDescent="0.25">
      <c r="A34">
        <v>33</v>
      </c>
      <c r="B34" s="9">
        <v>64</v>
      </c>
      <c r="C34" t="str">
        <f>IF(Test!J109=Score!B34, "Correct", "Incorrect")</f>
        <v>Incorrect</v>
      </c>
    </row>
    <row r="35" spans="1:3" x14ac:dyDescent="0.25">
      <c r="A35">
        <v>34</v>
      </c>
      <c r="B35" s="9">
        <v>12</v>
      </c>
      <c r="C35" t="str">
        <f>IF(Test!J111=Score!B35, "Correct", "Incorrect")</f>
        <v>Incorrect</v>
      </c>
    </row>
    <row r="36" spans="1:3" x14ac:dyDescent="0.25">
      <c r="A36">
        <v>35</v>
      </c>
      <c r="B36" s="9" t="s">
        <v>98</v>
      </c>
      <c r="C36" t="str">
        <f>IF(Test!J113=Score!B36, "Correct", "Incorrect")</f>
        <v>Incorrect</v>
      </c>
    </row>
    <row r="37" spans="1:3" x14ac:dyDescent="0.25">
      <c r="A37">
        <v>36</v>
      </c>
      <c r="B37" s="9">
        <v>13824</v>
      </c>
      <c r="C37" t="str">
        <f>IF(Test!J115=Score!B37, "Correct", "Incorrect")</f>
        <v>Incorrect</v>
      </c>
    </row>
    <row r="38" spans="1:3" x14ac:dyDescent="0.25">
      <c r="A38">
        <v>37</v>
      </c>
      <c r="B38" s="9" t="s">
        <v>99</v>
      </c>
      <c r="C38" t="str">
        <f>IF(Test!J117=Score!B38, "Correct", "Incorrect")</f>
        <v>Incorrect</v>
      </c>
    </row>
    <row r="39" spans="1:3" x14ac:dyDescent="0.25">
      <c r="A39">
        <v>38</v>
      </c>
      <c r="B39" s="9" t="s">
        <v>100</v>
      </c>
      <c r="C39" t="str">
        <f>IF(Test!J119=Score!B39, "Correct", "Incorrect")</f>
        <v>Incorrect</v>
      </c>
    </row>
    <row r="40" spans="1:3" x14ac:dyDescent="0.25">
      <c r="A40">
        <v>39</v>
      </c>
      <c r="B40" s="9" t="s">
        <v>101</v>
      </c>
      <c r="C40" t="str">
        <f>IF(Test!J121=Score!B40, "Correct", "Incorrect")</f>
        <v>Incorrect</v>
      </c>
    </row>
    <row r="41" spans="1:3" x14ac:dyDescent="0.25">
      <c r="A41">
        <v>40</v>
      </c>
      <c r="B41" s="9" t="s">
        <v>102</v>
      </c>
      <c r="C41" t="str">
        <f>IF(Test!J123=Score!B41, "Correct", "Incorrect")</f>
        <v>Incorrect</v>
      </c>
    </row>
    <row r="42" spans="1:3" x14ac:dyDescent="0.25">
      <c r="A42">
        <v>41</v>
      </c>
      <c r="B42" s="9">
        <v>76</v>
      </c>
      <c r="C42" t="str">
        <f>IF(Test!J125=Score!B42, "Correct", "Incorrect")</f>
        <v>Incorrect</v>
      </c>
    </row>
    <row r="43" spans="1:3" x14ac:dyDescent="0.25">
      <c r="A43">
        <v>42</v>
      </c>
      <c r="B43" s="9">
        <v>5</v>
      </c>
      <c r="C43" t="str">
        <f>IF(Test!J127=Score!B43, "Correct", "Incorrect")</f>
        <v>Incorrect</v>
      </c>
    </row>
    <row r="44" spans="1:3" x14ac:dyDescent="0.25">
      <c r="A44">
        <v>43</v>
      </c>
      <c r="B44" s="9" t="s">
        <v>103</v>
      </c>
      <c r="C44" t="str">
        <f>IF(OR(Test!J129="ST ON",Test!J129="STON",Test!J129="ST and ON",Test!J129="ST &amp; ON"), "Correct", "Incorrect")</f>
        <v>Incorrect</v>
      </c>
    </row>
    <row r="45" spans="1:3" x14ac:dyDescent="0.25">
      <c r="A45">
        <v>44</v>
      </c>
      <c r="B45" s="9" t="s">
        <v>104</v>
      </c>
      <c r="C45" t="str">
        <f>IF(Test!J131=Score!B45, "Correct", "Incorrect")</f>
        <v>Incorrect</v>
      </c>
    </row>
    <row r="46" spans="1:3" x14ac:dyDescent="0.25">
      <c r="A46">
        <v>45</v>
      </c>
      <c r="B46" s="9">
        <v>611</v>
      </c>
      <c r="C46" t="str">
        <f>IF(Test!J133=Score!B46, "Correct", "Incorrect")</f>
        <v>Incorrect</v>
      </c>
    </row>
    <row r="47" spans="1:3" x14ac:dyDescent="0.25">
      <c r="A47">
        <v>46</v>
      </c>
      <c r="B47" s="9">
        <v>49</v>
      </c>
      <c r="C47" t="str">
        <f>IF(Test!J135=Score!B47, "Correct", "Incorrect")</f>
        <v>Incorrect</v>
      </c>
    </row>
    <row r="48" spans="1:3" x14ac:dyDescent="0.25">
      <c r="A48">
        <v>47</v>
      </c>
      <c r="B48" s="9" t="s">
        <v>105</v>
      </c>
      <c r="C48" t="str">
        <f>IF(Test!J137=Score!B48, "Correct", "Incorrect")</f>
        <v>Incorrect</v>
      </c>
    </row>
    <row r="49" spans="1:3" x14ac:dyDescent="0.25">
      <c r="A49">
        <v>48</v>
      </c>
      <c r="B49" s="9" t="s">
        <v>106</v>
      </c>
      <c r="C49" t="str">
        <f>IF(OR(Test!J139="O R",Test!J139="OR",Test!J139="O and R",Test!J139="O &amp; R"), "Correct", "Incorrect")</f>
        <v>Incorrect</v>
      </c>
    </row>
    <row r="50" spans="1:3" x14ac:dyDescent="0.25">
      <c r="A50">
        <v>49</v>
      </c>
      <c r="B50" s="9" t="s">
        <v>107</v>
      </c>
      <c r="C50" t="str">
        <f>IF(Test!J141=Score!B50, "Correct", "Incorrect")</f>
        <v>Incorrect</v>
      </c>
    </row>
    <row r="51" spans="1:3" x14ac:dyDescent="0.25">
      <c r="A51">
        <v>50</v>
      </c>
      <c r="B51" s="9" t="s">
        <v>108</v>
      </c>
      <c r="C51" t="str">
        <f>IF(Test!J143=Score!B51, "Correct", "Incorrect")</f>
        <v>Incorrect</v>
      </c>
    </row>
    <row r="52" spans="1:3" x14ac:dyDescent="0.25">
      <c r="A52">
        <v>51</v>
      </c>
      <c r="B52" s="9" t="s">
        <v>109</v>
      </c>
      <c r="C52" t="str">
        <f>IF(Test!J145=Score!B52, "Correct", "Incorrect")</f>
        <v>Incorrect</v>
      </c>
    </row>
    <row r="53" spans="1:3" x14ac:dyDescent="0.25">
      <c r="A53">
        <v>52</v>
      </c>
      <c r="B53" s="9" t="s">
        <v>110</v>
      </c>
      <c r="C53" t="str">
        <f>IF(Test!J147=Score!B53, "Correct", "Incorrect")</f>
        <v>Incorrect</v>
      </c>
    </row>
    <row r="54" spans="1:3" x14ac:dyDescent="0.25">
      <c r="A54">
        <v>53</v>
      </c>
      <c r="B54" s="9" t="s">
        <v>111</v>
      </c>
      <c r="C54" t="str">
        <f>IF(Test!J149=Score!B54, "Correct", "Incorrect")</f>
        <v>Incorrect</v>
      </c>
    </row>
    <row r="55" spans="1:3" x14ac:dyDescent="0.25">
      <c r="A55">
        <v>54</v>
      </c>
      <c r="B55" s="9" t="s">
        <v>112</v>
      </c>
      <c r="C55" t="str">
        <f>IF(OR(Test!J151="R VE",Test!J151="RV E",Test!J151="RVE",Test!J151="R V E",Test!J151="R,V and E",Test!J151="R, V and E",Test!J151="R, V ,and E",Test!J151="R,V &amp; E",Test!J151="R, V &amp; E",Test!J151="R, V ,&amp; E"), "Correct", "Incorrect")</f>
        <v>Incorrect</v>
      </c>
    </row>
    <row r="56" spans="1:3" x14ac:dyDescent="0.25">
      <c r="A56">
        <v>55</v>
      </c>
      <c r="B56" s="9">
        <v>5</v>
      </c>
      <c r="C56" t="str">
        <f>IF(Test!J153=Score!B56, "Correct", "Incorrect")</f>
        <v>Incorrect</v>
      </c>
    </row>
    <row r="57" spans="1:3" x14ac:dyDescent="0.25">
      <c r="A57">
        <v>56</v>
      </c>
      <c r="B57" s="9" t="s">
        <v>113</v>
      </c>
      <c r="C57" t="str">
        <f>IF(Test!J155=Score!B57, "Correct", "Incorrect")</f>
        <v>Incorrect</v>
      </c>
    </row>
    <row r="58" spans="1:3" x14ac:dyDescent="0.25">
      <c r="A58">
        <v>57</v>
      </c>
      <c r="B58" s="9">
        <v>8</v>
      </c>
      <c r="C58" t="str">
        <f>IF(Test!J157=Score!B58, "Correct", "Incorrect")</f>
        <v>Incorrect</v>
      </c>
    </row>
  </sheetData>
  <sheetProtection algorithmName="SHA-512" hashValue="WD4ml2ZCdBsAjGXhVjJ2w6U87nEJy6My5alin2AVT7ja9LbFNWi8nbFkwOgcAE322igsEcrMusQEn4UQASLWIw==" saltValue="38NRczxJROtJf75aACgpPw==" spinCount="100000" sheet="1" objects="1" scenarios="1" selectLockedCells="1"/>
  <mergeCells count="11">
    <mergeCell ref="L11:M13"/>
    <mergeCell ref="I11:J13"/>
    <mergeCell ref="F11:F13"/>
    <mergeCell ref="G11:G13"/>
    <mergeCell ref="H7:K8"/>
    <mergeCell ref="F3:H3"/>
    <mergeCell ref="H6:K6"/>
    <mergeCell ref="L10:N10"/>
    <mergeCell ref="I10:J10"/>
    <mergeCell ref="F10:G10"/>
    <mergeCell ref="F4:G4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Test</vt:lpstr>
      <vt:lpstr>Answer Key for Exercises</vt:lpstr>
      <vt:lpstr>Score</vt:lpstr>
    </vt:vector>
  </TitlesOfParts>
  <Company>House of IT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Clint Sabuero</dc:creator>
  <cp:lastModifiedBy>Clint Sabuero</cp:lastModifiedBy>
  <cp:lastPrinted>2017-05-08T02:30:20Z</cp:lastPrinted>
  <dcterms:created xsi:type="dcterms:W3CDTF">2017-05-07T23:46:57Z</dcterms:created>
  <dcterms:modified xsi:type="dcterms:W3CDTF">2017-06-08T08:43:31Z</dcterms:modified>
</cp:coreProperties>
</file>